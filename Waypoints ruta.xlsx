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hispasat-my.sharepoint.com/personal/asanchez_hispasat_com/Documents/Downloads/STARTICAL/RUTA AÉREA/"/>
    </mc:Choice>
  </mc:AlternateContent>
  <xr:revisionPtr revIDLastSave="349" documentId="11_F25DC773A252ABDACC104858391842B65BDE58FB" xr6:coauthVersionLast="47" xr6:coauthVersionMax="47" xr10:uidLastSave="{06297E53-F9BE-499F-BD09-DA8FE3ECA1A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14" i="1"/>
  <c r="Q15" i="1"/>
  <c r="Q16" i="1"/>
  <c r="Q17" i="1"/>
  <c r="Q4" i="1"/>
  <c r="Q5" i="1"/>
  <c r="Q6" i="1"/>
  <c r="Q7" i="1"/>
  <c r="Q8" i="1"/>
  <c r="Q9" i="1"/>
  <c r="Q10" i="1"/>
  <c r="Q11" i="1"/>
  <c r="Q12" i="1"/>
  <c r="Q13" i="1"/>
  <c r="Q3" i="1"/>
  <c r="Q2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3" i="1"/>
  <c r="O3" i="1"/>
  <c r="P3" i="1"/>
  <c r="P2" i="1"/>
  <c r="O2" i="1"/>
  <c r="N2" i="1"/>
  <c r="K8" i="1"/>
  <c r="K46" i="1"/>
  <c r="L48" i="1"/>
  <c r="L49" i="1"/>
  <c r="L50" i="1"/>
  <c r="L51" i="1"/>
  <c r="L52" i="1"/>
  <c r="L53" i="1"/>
  <c r="L54" i="1"/>
  <c r="L55" i="1"/>
  <c r="K54" i="1"/>
  <c r="K55" i="1"/>
  <c r="K56" i="1"/>
  <c r="K53" i="1"/>
  <c r="K52" i="1"/>
  <c r="K51" i="1"/>
  <c r="K50" i="1"/>
  <c r="K49" i="1"/>
  <c r="K48" i="1"/>
  <c r="K47" i="1"/>
  <c r="J48" i="1"/>
  <c r="J49" i="1"/>
  <c r="J50" i="1"/>
  <c r="J51" i="1"/>
  <c r="J52" i="1"/>
  <c r="J53" i="1"/>
  <c r="J54" i="1"/>
  <c r="J55" i="1"/>
  <c r="J47" i="1"/>
  <c r="L47" i="1"/>
  <c r="D48" i="1"/>
  <c r="D49" i="1"/>
  <c r="D50" i="1"/>
  <c r="D51" i="1"/>
  <c r="D52" i="1"/>
  <c r="D53" i="1"/>
  <c r="D54" i="1"/>
  <c r="D47" i="1"/>
  <c r="D55" i="1"/>
  <c r="C56" i="1"/>
  <c r="C3" i="1"/>
  <c r="C4" i="1"/>
  <c r="C5" i="1"/>
  <c r="C6" i="1"/>
  <c r="C7" i="1"/>
  <c r="C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8" i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K38" i="1" s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L46" i="1" s="1"/>
  <c r="J56" i="1"/>
  <c r="L56" i="1" s="1"/>
  <c r="J8" i="1"/>
  <c r="L8" i="1" s="1"/>
  <c r="M8" i="1" s="1"/>
  <c r="J2" i="1"/>
  <c r="K2" i="1" s="1"/>
  <c r="L2" i="1" s="1"/>
  <c r="M9" i="1" l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</calcChain>
</file>

<file path=xl/sharedStrings.xml><?xml version="1.0" encoding="utf-8"?>
<sst xmlns="http://schemas.openxmlformats.org/spreadsheetml/2006/main" count="232" uniqueCount="72">
  <si>
    <t>Departure</t>
  </si>
  <si>
    <t>Arrival</t>
  </si>
  <si>
    <t>Type</t>
  </si>
  <si>
    <t>Ident</t>
  </si>
  <si>
    <t>Latitude</t>
  </si>
  <si>
    <t>Longitude</t>
  </si>
  <si>
    <t>JFK</t>
  </si>
  <si>
    <t>LEMD</t>
  </si>
  <si>
    <t>Navaid</t>
  </si>
  <si>
    <t>Waypoint</t>
  </si>
  <si>
    <t>SHIPP</t>
  </si>
  <si>
    <t>SPDEY</t>
  </si>
  <si>
    <t>DOGRS</t>
  </si>
  <si>
    <t>BLUUU</t>
  </si>
  <si>
    <t>DUMPR</t>
  </si>
  <si>
    <t>ISLES</t>
  </si>
  <si>
    <t>MARIG</t>
  </si>
  <si>
    <t>TILED</t>
  </si>
  <si>
    <t>KINER</t>
  </si>
  <si>
    <t>BOVIC</t>
  </si>
  <si>
    <t>BDA</t>
  </si>
  <si>
    <t>TONEY</t>
  </si>
  <si>
    <t>PIREX</t>
  </si>
  <si>
    <t>KOZIK</t>
  </si>
  <si>
    <t>FIVZE</t>
  </si>
  <si>
    <t>BUTUX</t>
  </si>
  <si>
    <t>PAKER</t>
  </si>
  <si>
    <t>IRELA</t>
  </si>
  <si>
    <t>POKSI</t>
  </si>
  <si>
    <t>PINRU</t>
  </si>
  <si>
    <t>BUXON</t>
  </si>
  <si>
    <t>NELTO</t>
  </si>
  <si>
    <t>AMDOL</t>
  </si>
  <si>
    <t>IRANI</t>
  </si>
  <si>
    <t>TENPA</t>
  </si>
  <si>
    <t>YORGI</t>
  </si>
  <si>
    <t>APASO</t>
  </si>
  <si>
    <t>PUCLO</t>
  </si>
  <si>
    <t>URQUI</t>
  </si>
  <si>
    <t>GDV</t>
  </si>
  <si>
    <t>LZR</t>
  </si>
  <si>
    <t>KORAL</t>
  </si>
  <si>
    <t>SONSO</t>
  </si>
  <si>
    <t>ADUBI</t>
  </si>
  <si>
    <t>VJF</t>
  </si>
  <si>
    <t>SVL</t>
  </si>
  <si>
    <t>HIJ</t>
  </si>
  <si>
    <t>RUSEM</t>
  </si>
  <si>
    <t>SOTUK</t>
  </si>
  <si>
    <t>Airport</t>
  </si>
  <si>
    <t>Distance (nm)</t>
  </si>
  <si>
    <t>Distance (km)</t>
  </si>
  <si>
    <t>Tiempo total (h:m:s)</t>
  </si>
  <si>
    <t>Tiempo tramo (h)</t>
  </si>
  <si>
    <t>Tiempo tramo (h:m:s)</t>
  </si>
  <si>
    <t>CruiseLevel (ft)</t>
  </si>
  <si>
    <t>Altitude (m)</t>
  </si>
  <si>
    <t>Ascend</t>
  </si>
  <si>
    <t>Descent</t>
  </si>
  <si>
    <t>MD460</t>
  </si>
  <si>
    <t>MD450</t>
  </si>
  <si>
    <t>BUREX</t>
  </si>
  <si>
    <t>MD440</t>
  </si>
  <si>
    <t>YUNYE</t>
  </si>
  <si>
    <t>FAFEQ</t>
  </si>
  <si>
    <t>MD470</t>
  </si>
  <si>
    <t>MD475</t>
  </si>
  <si>
    <t>YAYHO</t>
  </si>
  <si>
    <t>Tiempo total (hora)</t>
  </si>
  <si>
    <t>Tiempo total (min)</t>
  </si>
  <si>
    <t>Tiempo total (s)</t>
  </si>
  <si>
    <t>Tiempo total en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</si>
</sst>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000"/>
    <numFmt numFmtId="166" formatCode="0.00000"/>
    <numFmt numFmtId="167" formatCode="#,##0.0000"/>
    <numFmt numFmtId="168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0" fontId="0" fillId="3" borderId="2" xfId="0" applyFill="1" applyBorder="1"/>
    <xf numFmtId="49" fontId="0" fillId="0" borderId="1" xfId="0" applyNumberFormat="1" applyBorder="1"/>
    <xf numFmtId="49" fontId="0" fillId="0" borderId="2" xfId="0" applyNumberFormat="1" applyBorder="1"/>
    <xf numFmtId="0" fontId="0" fillId="0" borderId="2" xfId="0" applyBorder="1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165" fontId="0" fillId="0" borderId="0" xfId="0" applyNumberFormat="1"/>
    <xf numFmtId="49" fontId="0" fillId="4" borderId="1" xfId="0" applyNumberFormat="1" applyFill="1" applyBorder="1"/>
    <xf numFmtId="49" fontId="0" fillId="4" borderId="2" xfId="0" applyNumberFormat="1" applyFill="1" applyBorder="1"/>
    <xf numFmtId="0" fontId="0" fillId="4" borderId="2" xfId="0" applyFill="1" applyBorder="1"/>
    <xf numFmtId="166" fontId="0" fillId="4" borderId="2" xfId="0" applyNumberFormat="1" applyFill="1" applyBorder="1"/>
    <xf numFmtId="0" fontId="0" fillId="4" borderId="0" xfId="0" applyFill="1"/>
    <xf numFmtId="0" fontId="0" fillId="5" borderId="0" xfId="0" applyFill="1"/>
    <xf numFmtId="165" fontId="0" fillId="5" borderId="0" xfId="0" applyNumberFormat="1" applyFill="1"/>
    <xf numFmtId="164" fontId="0" fillId="5" borderId="0" xfId="0" applyNumberFormat="1" applyFill="1"/>
    <xf numFmtId="164" fontId="0" fillId="4" borderId="0" xfId="0" applyNumberFormat="1" applyFill="1"/>
    <xf numFmtId="168" fontId="0" fillId="5" borderId="0" xfId="0" applyNumberFormat="1" applyFill="1"/>
    <xf numFmtId="167" fontId="0" fillId="5" borderId="0" xfId="0" applyNumberFormat="1" applyFill="1"/>
    <xf numFmtId="21" fontId="0" fillId="5" borderId="0" xfId="0" applyNumberFormat="1" applyFill="1"/>
    <xf numFmtId="49" fontId="0" fillId="5" borderId="1" xfId="0" applyNumberFormat="1" applyFill="1" applyBorder="1"/>
    <xf numFmtId="49" fontId="0" fillId="5" borderId="2" xfId="0" applyNumberFormat="1" applyFill="1" applyBorder="1"/>
    <xf numFmtId="0" fontId="0" fillId="5" borderId="2" xfId="0" applyFill="1" applyBorder="1"/>
    <xf numFmtId="1" fontId="1" fillId="2" borderId="0" xfId="0" applyNumberFormat="1" applyFont="1" applyFill="1"/>
    <xf numFmtId="1" fontId="0" fillId="5" borderId="0" xfId="0" applyNumberFormat="1" applyFill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topLeftCell="A31" workbookViewId="0">
      <selection activeCell="N40" sqref="N40"/>
    </sheetView>
  </sheetViews>
  <sheetFormatPr baseColWidth="10" defaultColWidth="8.88671875" defaultRowHeight="14.4" x14ac:dyDescent="0.3"/>
  <cols>
    <col min="3" max="3" width="10.44140625" bestFit="1" customWidth="1"/>
    <col min="4" max="4" width="10.44140625" customWidth="1"/>
    <col min="7" max="7" width="8.44140625" bestFit="1" customWidth="1"/>
    <col min="8" max="8" width="9.44140625" bestFit="1" customWidth="1"/>
    <col min="9" max="9" width="12.6640625" bestFit="1" customWidth="1"/>
    <col min="10" max="10" width="12.5546875" bestFit="1" customWidth="1"/>
    <col min="11" max="11" width="15.44140625" bestFit="1" customWidth="1"/>
    <col min="12" max="12" width="15.44140625" customWidth="1"/>
    <col min="13" max="13" width="18.21875" bestFit="1" customWidth="1"/>
    <col min="14" max="14" width="18.21875" style="30" bestFit="1" customWidth="1"/>
    <col min="15" max="16" width="8.88671875" style="30"/>
  </cols>
  <sheetData>
    <row r="1" spans="1:17" x14ac:dyDescent="0.3">
      <c r="A1" s="1" t="s">
        <v>0</v>
      </c>
      <c r="B1" s="2" t="s">
        <v>1</v>
      </c>
      <c r="C1" s="2" t="s">
        <v>55</v>
      </c>
      <c r="D1" s="2" t="s">
        <v>56</v>
      </c>
      <c r="E1" s="2" t="s">
        <v>2</v>
      </c>
      <c r="F1" s="2" t="s">
        <v>3</v>
      </c>
      <c r="G1" s="2" t="s">
        <v>4</v>
      </c>
      <c r="H1" s="2" t="s">
        <v>5</v>
      </c>
      <c r="I1" s="9" t="s">
        <v>50</v>
      </c>
      <c r="J1" s="9" t="s">
        <v>51</v>
      </c>
      <c r="K1" s="9" t="s">
        <v>53</v>
      </c>
      <c r="L1" s="9" t="s">
        <v>54</v>
      </c>
      <c r="M1" s="9" t="s">
        <v>52</v>
      </c>
      <c r="N1" s="28" t="s">
        <v>68</v>
      </c>
      <c r="O1" s="28" t="s">
        <v>69</v>
      </c>
      <c r="P1" s="28" t="s">
        <v>70</v>
      </c>
      <c r="Q1" s="28" t="s">
        <v>71</v>
      </c>
    </row>
    <row r="2" spans="1:17" s="18" customFormat="1" x14ac:dyDescent="0.3">
      <c r="A2" s="13" t="s">
        <v>6</v>
      </c>
      <c r="B2" s="14" t="s">
        <v>7</v>
      </c>
      <c r="C2" s="15">
        <f>D2/0.3048</f>
        <v>9.8425196850393704</v>
      </c>
      <c r="D2" s="15">
        <v>3</v>
      </c>
      <c r="E2" s="14" t="s">
        <v>57</v>
      </c>
      <c r="F2" s="14" t="s">
        <v>6</v>
      </c>
      <c r="G2" s="16">
        <v>40.628900000000002</v>
      </c>
      <c r="H2" s="16">
        <v>-73.773799999999994</v>
      </c>
      <c r="I2" s="17">
        <v>0</v>
      </c>
      <c r="J2" s="18">
        <f>I2*1.852</f>
        <v>0</v>
      </c>
      <c r="K2" s="19">
        <f>J2/900</f>
        <v>0</v>
      </c>
      <c r="L2" s="20">
        <f>K2/24</f>
        <v>0</v>
      </c>
      <c r="M2" s="21">
        <v>0</v>
      </c>
      <c r="N2" s="29">
        <f>HOUR(M2)</f>
        <v>0</v>
      </c>
      <c r="O2" s="29">
        <f>MINUTE(M2)</f>
        <v>0</v>
      </c>
      <c r="P2" s="29">
        <f>SECOND(M2)</f>
        <v>0</v>
      </c>
      <c r="Q2" s="18">
        <f>P2+O2*60+N2*3600</f>
        <v>0</v>
      </c>
    </row>
    <row r="3" spans="1:17" s="18" customFormat="1" x14ac:dyDescent="0.3">
      <c r="A3" s="13" t="s">
        <v>6</v>
      </c>
      <c r="B3" s="14" t="s">
        <v>7</v>
      </c>
      <c r="C3" s="15">
        <f t="shared" ref="C3:C7" si="0">D3/0.3048</f>
        <v>9.8425196850393704</v>
      </c>
      <c r="D3" s="15">
        <v>3</v>
      </c>
      <c r="E3" s="14" t="s">
        <v>57</v>
      </c>
      <c r="F3" s="14"/>
      <c r="G3" s="16">
        <v>40.6325</v>
      </c>
      <c r="H3" s="16">
        <v>-73.781899999999993</v>
      </c>
      <c r="I3" s="17"/>
      <c r="K3" s="19"/>
      <c r="L3" s="20"/>
      <c r="M3" s="21">
        <v>2.3148148148148149E-4</v>
      </c>
      <c r="N3" s="29">
        <f>HOUR(M3)</f>
        <v>0</v>
      </c>
      <c r="O3" s="29">
        <f>MINUTE(M3)</f>
        <v>0</v>
      </c>
      <c r="P3" s="29">
        <f>SECOND(M3)</f>
        <v>20</v>
      </c>
      <c r="Q3" s="18">
        <f>P3+O3*60+N3*3600</f>
        <v>20</v>
      </c>
    </row>
    <row r="4" spans="1:17" s="18" customFormat="1" x14ac:dyDescent="0.3">
      <c r="A4" s="13" t="s">
        <v>6</v>
      </c>
      <c r="B4" s="14" t="s">
        <v>7</v>
      </c>
      <c r="C4" s="15">
        <f t="shared" si="0"/>
        <v>144.35695538057743</v>
      </c>
      <c r="D4" s="15">
        <v>44</v>
      </c>
      <c r="E4" s="14" t="s">
        <v>57</v>
      </c>
      <c r="F4" s="14"/>
      <c r="G4" s="22">
        <v>40.634099999999997</v>
      </c>
      <c r="H4" s="23">
        <v>-73.785200000000003</v>
      </c>
      <c r="I4" s="17"/>
      <c r="K4" s="19"/>
      <c r="L4" s="20"/>
      <c r="M4" s="21">
        <v>3.1250000000000001E-4</v>
      </c>
      <c r="N4" s="29">
        <f t="shared" ref="N4:N56" si="1">HOUR(M4)</f>
        <v>0</v>
      </c>
      <c r="O4" s="29">
        <f t="shared" ref="O4:O56" si="2">MINUTE(M4)</f>
        <v>0</v>
      </c>
      <c r="P4" s="29">
        <f t="shared" ref="P4:P56" si="3">SECOND(M4)</f>
        <v>27</v>
      </c>
      <c r="Q4" s="18">
        <f t="shared" ref="Q4:Q56" si="4">P4+O4*60+N4*3600</f>
        <v>27</v>
      </c>
    </row>
    <row r="5" spans="1:17" s="18" customFormat="1" x14ac:dyDescent="0.3">
      <c r="A5" s="13" t="s">
        <v>6</v>
      </c>
      <c r="B5" s="14" t="s">
        <v>7</v>
      </c>
      <c r="C5" s="15">
        <f t="shared" si="0"/>
        <v>869.42257217847759</v>
      </c>
      <c r="D5" s="15">
        <v>265</v>
      </c>
      <c r="E5" s="14" t="s">
        <v>57</v>
      </c>
      <c r="F5" s="14"/>
      <c r="G5" s="16">
        <v>40.64</v>
      </c>
      <c r="H5" s="23">
        <v>-73.797399999999996</v>
      </c>
      <c r="I5" s="17"/>
      <c r="K5" s="19"/>
      <c r="L5" s="20"/>
      <c r="M5" s="24">
        <v>4.9768518518518521E-4</v>
      </c>
      <c r="N5" s="29">
        <f t="shared" si="1"/>
        <v>0</v>
      </c>
      <c r="O5" s="29">
        <f t="shared" si="2"/>
        <v>0</v>
      </c>
      <c r="P5" s="29">
        <f t="shared" si="3"/>
        <v>43</v>
      </c>
      <c r="Q5" s="18">
        <f t="shared" si="4"/>
        <v>43</v>
      </c>
    </row>
    <row r="6" spans="1:17" s="18" customFormat="1" x14ac:dyDescent="0.3">
      <c r="A6" s="13" t="s">
        <v>6</v>
      </c>
      <c r="B6" s="14" t="s">
        <v>7</v>
      </c>
      <c r="C6" s="15">
        <f t="shared" si="0"/>
        <v>3320.2099737532808</v>
      </c>
      <c r="D6" s="15">
        <v>1012</v>
      </c>
      <c r="E6" s="14" t="s">
        <v>57</v>
      </c>
      <c r="F6" s="14"/>
      <c r="G6" s="16">
        <v>40.617100000000001</v>
      </c>
      <c r="H6" s="23">
        <v>-73.861800000000002</v>
      </c>
      <c r="I6" s="17"/>
      <c r="K6" s="19"/>
      <c r="L6" s="20"/>
      <c r="M6" s="21">
        <v>1.238425925925926E-3</v>
      </c>
      <c r="N6" s="29">
        <f t="shared" si="1"/>
        <v>0</v>
      </c>
      <c r="O6" s="29">
        <f t="shared" si="2"/>
        <v>1</v>
      </c>
      <c r="P6" s="29">
        <f t="shared" si="3"/>
        <v>47</v>
      </c>
      <c r="Q6" s="18">
        <f t="shared" si="4"/>
        <v>107</v>
      </c>
    </row>
    <row r="7" spans="1:17" s="18" customFormat="1" x14ac:dyDescent="0.3">
      <c r="A7" s="13" t="s">
        <v>6</v>
      </c>
      <c r="B7" s="14" t="s">
        <v>7</v>
      </c>
      <c r="C7" s="15">
        <f t="shared" si="0"/>
        <v>5570.8661417322828</v>
      </c>
      <c r="D7" s="15">
        <v>1698</v>
      </c>
      <c r="E7" s="14" t="s">
        <v>57</v>
      </c>
      <c r="F7" s="14"/>
      <c r="G7" s="16">
        <v>40.578699999999998</v>
      </c>
      <c r="H7" s="23">
        <v>-73.858500000000006</v>
      </c>
      <c r="I7" s="17"/>
      <c r="K7" s="19"/>
      <c r="L7" s="20"/>
      <c r="M7" s="21">
        <v>1.6319444444444445E-3</v>
      </c>
      <c r="N7" s="29">
        <f t="shared" si="1"/>
        <v>0</v>
      </c>
      <c r="O7" s="29">
        <f t="shared" si="2"/>
        <v>2</v>
      </c>
      <c r="P7" s="29">
        <f t="shared" si="3"/>
        <v>21</v>
      </c>
      <c r="Q7" s="18">
        <f t="shared" si="4"/>
        <v>141</v>
      </c>
    </row>
    <row r="8" spans="1:17" x14ac:dyDescent="0.3">
      <c r="A8" s="6" t="s">
        <v>6</v>
      </c>
      <c r="B8" s="7" t="s">
        <v>7</v>
      </c>
      <c r="C8" s="8">
        <v>33000</v>
      </c>
      <c r="D8" s="8">
        <f>C8*0.3048</f>
        <v>10058.4</v>
      </c>
      <c r="E8" s="7" t="s">
        <v>9</v>
      </c>
      <c r="F8" s="7" t="s">
        <v>10</v>
      </c>
      <c r="G8" s="8">
        <v>40.3294</v>
      </c>
      <c r="H8" s="8">
        <v>-73.247299999999996</v>
      </c>
      <c r="I8">
        <v>30</v>
      </c>
      <c r="J8">
        <f>I8*1.852</f>
        <v>55.56</v>
      </c>
      <c r="K8" s="12">
        <f>J8/800</f>
        <v>6.9449999999999998E-2</v>
      </c>
      <c r="L8" s="11">
        <f t="shared" ref="L8:L56" si="5">K8/24</f>
        <v>2.8937500000000001E-3</v>
      </c>
      <c r="M8" s="11">
        <f>M2+L8</f>
        <v>2.8937500000000001E-3</v>
      </c>
      <c r="N8" s="30">
        <f t="shared" si="1"/>
        <v>0</v>
      </c>
      <c r="O8" s="30">
        <f t="shared" si="2"/>
        <v>4</v>
      </c>
      <c r="P8" s="30">
        <f t="shared" si="3"/>
        <v>10</v>
      </c>
      <c r="Q8" s="31">
        <f t="shared" si="4"/>
        <v>250</v>
      </c>
    </row>
    <row r="9" spans="1:17" x14ac:dyDescent="0.3">
      <c r="A9" s="3" t="s">
        <v>6</v>
      </c>
      <c r="B9" s="4" t="s">
        <v>7</v>
      </c>
      <c r="C9" s="5">
        <v>33000</v>
      </c>
      <c r="D9" s="8">
        <f t="shared" ref="D9:D54" si="6">C9*0.3048</f>
        <v>10058.4</v>
      </c>
      <c r="E9" s="4" t="s">
        <v>9</v>
      </c>
      <c r="F9" s="4" t="s">
        <v>11</v>
      </c>
      <c r="G9" s="5">
        <v>40.249000000000002</v>
      </c>
      <c r="H9" s="5">
        <v>-73.085700000000003</v>
      </c>
      <c r="I9" s="10">
        <v>9</v>
      </c>
      <c r="J9">
        <f t="shared" ref="J9:J56" si="7">I9*1.852</f>
        <v>16.667999999999999</v>
      </c>
      <c r="K9" s="12">
        <f t="shared" ref="K9:K45" si="8">J9/900</f>
        <v>1.8519999999999998E-2</v>
      </c>
      <c r="L9" s="11">
        <f t="shared" si="5"/>
        <v>7.7166666666666659E-4</v>
      </c>
      <c r="M9" s="11">
        <f t="shared" ref="M9:M56" si="9">M8+L9</f>
        <v>3.6654166666666666E-3</v>
      </c>
      <c r="N9" s="30">
        <f t="shared" si="1"/>
        <v>0</v>
      </c>
      <c r="O9" s="30">
        <f t="shared" si="2"/>
        <v>5</v>
      </c>
      <c r="P9" s="30">
        <f t="shared" si="3"/>
        <v>17</v>
      </c>
      <c r="Q9" s="31">
        <f t="shared" si="4"/>
        <v>317</v>
      </c>
    </row>
    <row r="10" spans="1:17" x14ac:dyDescent="0.3">
      <c r="A10" s="6" t="s">
        <v>6</v>
      </c>
      <c r="B10" s="7" t="s">
        <v>7</v>
      </c>
      <c r="C10" s="8">
        <v>33000</v>
      </c>
      <c r="D10" s="8">
        <f t="shared" si="6"/>
        <v>10058.4</v>
      </c>
      <c r="E10" s="7" t="s">
        <v>9</v>
      </c>
      <c r="F10" s="7" t="s">
        <v>12</v>
      </c>
      <c r="G10" s="8">
        <v>40.103700000000003</v>
      </c>
      <c r="H10" s="8">
        <v>-72.796099999999996</v>
      </c>
      <c r="I10">
        <v>16</v>
      </c>
      <c r="J10">
        <f t="shared" si="7"/>
        <v>29.632000000000001</v>
      </c>
      <c r="K10" s="12">
        <f t="shared" si="8"/>
        <v>3.2924444444444444E-2</v>
      </c>
      <c r="L10" s="11">
        <f t="shared" si="5"/>
        <v>1.3718518518518517E-3</v>
      </c>
      <c r="M10" s="11">
        <f t="shared" si="9"/>
        <v>5.0372685185185182E-3</v>
      </c>
      <c r="N10" s="30">
        <f t="shared" si="1"/>
        <v>0</v>
      </c>
      <c r="O10" s="30">
        <f t="shared" si="2"/>
        <v>7</v>
      </c>
      <c r="P10" s="30">
        <f t="shared" si="3"/>
        <v>15</v>
      </c>
      <c r="Q10" s="31">
        <f t="shared" si="4"/>
        <v>435</v>
      </c>
    </row>
    <row r="11" spans="1:17" x14ac:dyDescent="0.3">
      <c r="A11" s="3" t="s">
        <v>6</v>
      </c>
      <c r="B11" s="4" t="s">
        <v>7</v>
      </c>
      <c r="C11" s="5">
        <v>33000</v>
      </c>
      <c r="D11" s="8">
        <f t="shared" si="6"/>
        <v>10058.4</v>
      </c>
      <c r="E11" s="4" t="s">
        <v>9</v>
      </c>
      <c r="F11" s="4" t="s">
        <v>13</v>
      </c>
      <c r="G11" s="5">
        <v>39.969200000000001</v>
      </c>
      <c r="H11" s="5">
        <v>-72.499399999999994</v>
      </c>
      <c r="I11" s="10">
        <v>16</v>
      </c>
      <c r="J11">
        <f t="shared" si="7"/>
        <v>29.632000000000001</v>
      </c>
      <c r="K11" s="12">
        <f t="shared" si="8"/>
        <v>3.2924444444444444E-2</v>
      </c>
      <c r="L11" s="11">
        <f t="shared" si="5"/>
        <v>1.3718518518518517E-3</v>
      </c>
      <c r="M11" s="11">
        <f t="shared" si="9"/>
        <v>6.4091203703703697E-3</v>
      </c>
      <c r="N11" s="30">
        <f t="shared" si="1"/>
        <v>0</v>
      </c>
      <c r="O11" s="30">
        <f t="shared" si="2"/>
        <v>9</v>
      </c>
      <c r="P11" s="30">
        <f t="shared" si="3"/>
        <v>14</v>
      </c>
      <c r="Q11" s="31">
        <f t="shared" si="4"/>
        <v>554</v>
      </c>
    </row>
    <row r="12" spans="1:17" x14ac:dyDescent="0.3">
      <c r="A12" s="6" t="s">
        <v>6</v>
      </c>
      <c r="B12" s="7" t="s">
        <v>7</v>
      </c>
      <c r="C12" s="8">
        <v>33000</v>
      </c>
      <c r="D12" s="8">
        <f t="shared" si="6"/>
        <v>10058.4</v>
      </c>
      <c r="E12" s="7" t="s">
        <v>9</v>
      </c>
      <c r="F12" s="7" t="s">
        <v>14</v>
      </c>
      <c r="G12" s="8">
        <v>39.745100000000001</v>
      </c>
      <c r="H12" s="8">
        <v>-71.992400000000004</v>
      </c>
      <c r="I12">
        <v>27</v>
      </c>
      <c r="J12">
        <f t="shared" si="7"/>
        <v>50.004000000000005</v>
      </c>
      <c r="K12" s="12">
        <f t="shared" si="8"/>
        <v>5.5560000000000005E-2</v>
      </c>
      <c r="L12" s="11">
        <f t="shared" si="5"/>
        <v>2.3150000000000002E-3</v>
      </c>
      <c r="M12" s="11">
        <f t="shared" si="9"/>
        <v>8.7241203703703699E-3</v>
      </c>
      <c r="N12" s="30">
        <f t="shared" si="1"/>
        <v>0</v>
      </c>
      <c r="O12" s="30">
        <f t="shared" si="2"/>
        <v>12</v>
      </c>
      <c r="P12" s="30">
        <f t="shared" si="3"/>
        <v>34</v>
      </c>
      <c r="Q12" s="31">
        <f t="shared" si="4"/>
        <v>754</v>
      </c>
    </row>
    <row r="13" spans="1:17" x14ac:dyDescent="0.3">
      <c r="A13" s="3" t="s">
        <v>6</v>
      </c>
      <c r="B13" s="4" t="s">
        <v>7</v>
      </c>
      <c r="C13" s="5">
        <v>33000</v>
      </c>
      <c r="D13" s="8">
        <f t="shared" si="6"/>
        <v>10058.4</v>
      </c>
      <c r="E13" s="4" t="s">
        <v>9</v>
      </c>
      <c r="F13" s="4" t="s">
        <v>15</v>
      </c>
      <c r="G13" s="5">
        <v>39.426900000000003</v>
      </c>
      <c r="H13" s="5">
        <v>-71.313500000000005</v>
      </c>
      <c r="I13" s="10">
        <v>37</v>
      </c>
      <c r="J13">
        <f t="shared" si="7"/>
        <v>68.524000000000001</v>
      </c>
      <c r="K13" s="12">
        <f t="shared" si="8"/>
        <v>7.6137777777777776E-2</v>
      </c>
      <c r="L13" s="11">
        <f t="shared" si="5"/>
        <v>3.1724074074074072E-3</v>
      </c>
      <c r="M13" s="11">
        <f t="shared" si="9"/>
        <v>1.1896527777777777E-2</v>
      </c>
      <c r="N13" s="30">
        <f t="shared" si="1"/>
        <v>0</v>
      </c>
      <c r="O13" s="30">
        <f t="shared" si="2"/>
        <v>17</v>
      </c>
      <c r="P13" s="30">
        <f t="shared" si="3"/>
        <v>8</v>
      </c>
      <c r="Q13" s="31">
        <f t="shared" si="4"/>
        <v>1028</v>
      </c>
    </row>
    <row r="14" spans="1:17" x14ac:dyDescent="0.3">
      <c r="A14" s="6" t="s">
        <v>6</v>
      </c>
      <c r="B14" s="7" t="s">
        <v>7</v>
      </c>
      <c r="C14" s="8">
        <v>33000</v>
      </c>
      <c r="D14" s="8">
        <f t="shared" si="6"/>
        <v>10058.4</v>
      </c>
      <c r="E14" s="7" t="s">
        <v>9</v>
      </c>
      <c r="F14" s="7" t="s">
        <v>16</v>
      </c>
      <c r="G14" s="8">
        <v>38.328400000000002</v>
      </c>
      <c r="H14" s="8">
        <v>-70.0595</v>
      </c>
      <c r="I14">
        <v>88</v>
      </c>
      <c r="J14">
        <f t="shared" si="7"/>
        <v>162.976</v>
      </c>
      <c r="K14" s="12">
        <f t="shared" si="8"/>
        <v>0.18108444444444444</v>
      </c>
      <c r="L14" s="11">
        <f t="shared" si="5"/>
        <v>7.5451851851851852E-3</v>
      </c>
      <c r="M14" s="11">
        <f t="shared" si="9"/>
        <v>1.9441712962962963E-2</v>
      </c>
      <c r="N14" s="30">
        <f t="shared" si="1"/>
        <v>0</v>
      </c>
      <c r="O14" s="30">
        <f t="shared" si="2"/>
        <v>28</v>
      </c>
      <c r="P14" s="30">
        <f t="shared" si="3"/>
        <v>0</v>
      </c>
      <c r="Q14" s="31">
        <f>P14+O14*60+N14*3600</f>
        <v>1680</v>
      </c>
    </row>
    <row r="15" spans="1:17" x14ac:dyDescent="0.3">
      <c r="A15" s="3" t="s">
        <v>6</v>
      </c>
      <c r="B15" s="4" t="s">
        <v>7</v>
      </c>
      <c r="C15" s="5">
        <v>33000</v>
      </c>
      <c r="D15" s="8">
        <f t="shared" si="6"/>
        <v>10058.4</v>
      </c>
      <c r="E15" s="4" t="s">
        <v>9</v>
      </c>
      <c r="F15" s="4" t="s">
        <v>17</v>
      </c>
      <c r="G15" s="5">
        <v>37.266100000000002</v>
      </c>
      <c r="H15" s="5">
        <v>-68.973299999999995</v>
      </c>
      <c r="I15" s="10">
        <v>82</v>
      </c>
      <c r="J15">
        <f t="shared" si="7"/>
        <v>151.864</v>
      </c>
      <c r="K15" s="12">
        <f t="shared" si="8"/>
        <v>0.16873777777777779</v>
      </c>
      <c r="L15" s="11">
        <f t="shared" si="5"/>
        <v>7.030740740740741E-3</v>
      </c>
      <c r="M15" s="11">
        <f t="shared" si="9"/>
        <v>2.6472453703703703E-2</v>
      </c>
      <c r="N15" s="30">
        <f t="shared" si="1"/>
        <v>0</v>
      </c>
      <c r="O15" s="30">
        <f t="shared" si="2"/>
        <v>38</v>
      </c>
      <c r="P15" s="30">
        <f t="shared" si="3"/>
        <v>7</v>
      </c>
      <c r="Q15" s="31">
        <f t="shared" si="4"/>
        <v>2287</v>
      </c>
    </row>
    <row r="16" spans="1:17" x14ac:dyDescent="0.3">
      <c r="A16" s="6" t="s">
        <v>6</v>
      </c>
      <c r="B16" s="7" t="s">
        <v>7</v>
      </c>
      <c r="C16" s="8">
        <v>33000</v>
      </c>
      <c r="D16" s="8">
        <f t="shared" si="6"/>
        <v>10058.4</v>
      </c>
      <c r="E16" s="7" t="s">
        <v>9</v>
      </c>
      <c r="F16" s="7" t="s">
        <v>18</v>
      </c>
      <c r="G16" s="8">
        <v>36.574199999999998</v>
      </c>
      <c r="H16" s="8">
        <v>-68.287400000000005</v>
      </c>
      <c r="I16">
        <v>53</v>
      </c>
      <c r="J16">
        <f t="shared" si="7"/>
        <v>98.156000000000006</v>
      </c>
      <c r="K16" s="12">
        <f t="shared" si="8"/>
        <v>0.10906222222222223</v>
      </c>
      <c r="L16" s="11">
        <f t="shared" si="5"/>
        <v>4.5442592592592592E-3</v>
      </c>
      <c r="M16" s="11">
        <f t="shared" si="9"/>
        <v>3.1016712962962961E-2</v>
      </c>
      <c r="N16" s="30">
        <f t="shared" si="1"/>
        <v>0</v>
      </c>
      <c r="O16" s="30">
        <f t="shared" si="2"/>
        <v>44</v>
      </c>
      <c r="P16" s="30">
        <f t="shared" si="3"/>
        <v>40</v>
      </c>
      <c r="Q16" s="31">
        <f t="shared" si="4"/>
        <v>2680</v>
      </c>
    </row>
    <row r="17" spans="1:17" x14ac:dyDescent="0.3">
      <c r="A17" s="3" t="s">
        <v>6</v>
      </c>
      <c r="B17" s="4" t="s">
        <v>7</v>
      </c>
      <c r="C17" s="5">
        <v>33000</v>
      </c>
      <c r="D17" s="8">
        <f t="shared" si="6"/>
        <v>10058.4</v>
      </c>
      <c r="E17" s="4" t="s">
        <v>9</v>
      </c>
      <c r="F17" s="4" t="s">
        <v>19</v>
      </c>
      <c r="G17" s="5">
        <v>34.873600000000003</v>
      </c>
      <c r="H17" s="5">
        <v>-66.667500000000004</v>
      </c>
      <c r="I17" s="10">
        <v>129</v>
      </c>
      <c r="J17">
        <f t="shared" si="7"/>
        <v>238.90800000000002</v>
      </c>
      <c r="K17" s="12">
        <f t="shared" si="8"/>
        <v>0.26545333333333337</v>
      </c>
      <c r="L17" s="11">
        <f t="shared" si="5"/>
        <v>1.1060555555555558E-2</v>
      </c>
      <c r="M17" s="11">
        <f t="shared" si="9"/>
        <v>4.2077268518518521E-2</v>
      </c>
      <c r="N17" s="30">
        <f t="shared" si="1"/>
        <v>1</v>
      </c>
      <c r="O17" s="30">
        <f t="shared" si="2"/>
        <v>0</v>
      </c>
      <c r="P17" s="30">
        <f t="shared" si="3"/>
        <v>35</v>
      </c>
      <c r="Q17" s="31">
        <f t="shared" si="4"/>
        <v>3635</v>
      </c>
    </row>
    <row r="18" spans="1:17" x14ac:dyDescent="0.3">
      <c r="A18" s="6" t="s">
        <v>6</v>
      </c>
      <c r="B18" s="7" t="s">
        <v>7</v>
      </c>
      <c r="C18" s="8">
        <v>33000</v>
      </c>
      <c r="D18" s="8">
        <f t="shared" si="6"/>
        <v>10058.4</v>
      </c>
      <c r="E18" s="7" t="s">
        <v>8</v>
      </c>
      <c r="F18" s="7" t="s">
        <v>20</v>
      </c>
      <c r="G18" s="8">
        <v>32.364400000000003</v>
      </c>
      <c r="H18" s="8">
        <v>-64.689599999999999</v>
      </c>
      <c r="I18">
        <v>180</v>
      </c>
      <c r="J18">
        <f t="shared" si="7"/>
        <v>333.36</v>
      </c>
      <c r="K18" s="12">
        <f t="shared" si="8"/>
        <v>0.37040000000000001</v>
      </c>
      <c r="L18" s="11">
        <f t="shared" si="5"/>
        <v>1.5433333333333334E-2</v>
      </c>
      <c r="M18" s="11">
        <f t="shared" si="9"/>
        <v>5.7510601851851854E-2</v>
      </c>
      <c r="N18" s="30">
        <f t="shared" si="1"/>
        <v>1</v>
      </c>
      <c r="O18" s="30">
        <f t="shared" si="2"/>
        <v>22</v>
      </c>
      <c r="P18" s="30">
        <f t="shared" si="3"/>
        <v>49</v>
      </c>
      <c r="Q18" s="31">
        <f t="shared" si="4"/>
        <v>4969</v>
      </c>
    </row>
    <row r="19" spans="1:17" x14ac:dyDescent="0.3">
      <c r="A19" s="3" t="s">
        <v>6</v>
      </c>
      <c r="B19" s="4" t="s">
        <v>7</v>
      </c>
      <c r="C19" s="5">
        <v>33000</v>
      </c>
      <c r="D19" s="8">
        <f t="shared" si="6"/>
        <v>10058.4</v>
      </c>
      <c r="E19" s="4" t="s">
        <v>9</v>
      </c>
      <c r="F19" s="4" t="s">
        <v>21</v>
      </c>
      <c r="G19" s="5">
        <v>30.223099999999999</v>
      </c>
      <c r="H19" s="5">
        <v>-64.423299999999998</v>
      </c>
      <c r="I19" s="10">
        <v>129</v>
      </c>
      <c r="J19">
        <f t="shared" si="7"/>
        <v>238.90800000000002</v>
      </c>
      <c r="K19" s="12">
        <f t="shared" si="8"/>
        <v>0.26545333333333337</v>
      </c>
      <c r="L19" s="11">
        <f t="shared" si="5"/>
        <v>1.1060555555555558E-2</v>
      </c>
      <c r="M19" s="11">
        <f t="shared" si="9"/>
        <v>6.8571157407407407E-2</v>
      </c>
      <c r="N19" s="30">
        <f t="shared" si="1"/>
        <v>1</v>
      </c>
      <c r="O19" s="30">
        <f t="shared" si="2"/>
        <v>38</v>
      </c>
      <c r="P19" s="30">
        <f t="shared" si="3"/>
        <v>45</v>
      </c>
      <c r="Q19" s="31">
        <f t="shared" si="4"/>
        <v>5925</v>
      </c>
    </row>
    <row r="20" spans="1:17" x14ac:dyDescent="0.3">
      <c r="A20" s="6" t="s">
        <v>6</v>
      </c>
      <c r="B20" s="7" t="s">
        <v>7</v>
      </c>
      <c r="C20" s="8">
        <v>33000</v>
      </c>
      <c r="D20" s="8">
        <f t="shared" si="6"/>
        <v>10058.4</v>
      </c>
      <c r="E20" s="7" t="s">
        <v>9</v>
      </c>
      <c r="F20" s="7" t="s">
        <v>22</v>
      </c>
      <c r="G20" s="8">
        <v>29.374400000000001</v>
      </c>
      <c r="H20" s="8">
        <v>-64.321100000000001</v>
      </c>
      <c r="I20">
        <v>51</v>
      </c>
      <c r="J20">
        <f t="shared" si="7"/>
        <v>94.451999999999998</v>
      </c>
      <c r="K20" s="12">
        <f t="shared" si="8"/>
        <v>0.10494666666666666</v>
      </c>
      <c r="L20" s="11">
        <f t="shared" si="5"/>
        <v>4.3727777777777775E-3</v>
      </c>
      <c r="M20" s="11">
        <f t="shared" si="9"/>
        <v>7.2943935185185188E-2</v>
      </c>
      <c r="N20" s="30">
        <f t="shared" si="1"/>
        <v>1</v>
      </c>
      <c r="O20" s="30">
        <f t="shared" si="2"/>
        <v>45</v>
      </c>
      <c r="P20" s="30">
        <f t="shared" si="3"/>
        <v>2</v>
      </c>
      <c r="Q20" s="31">
        <f t="shared" si="4"/>
        <v>6302</v>
      </c>
    </row>
    <row r="21" spans="1:17" x14ac:dyDescent="0.3">
      <c r="A21" s="3" t="s">
        <v>6</v>
      </c>
      <c r="B21" s="4" t="s">
        <v>7</v>
      </c>
      <c r="C21" s="5">
        <v>33000</v>
      </c>
      <c r="D21" s="8">
        <f t="shared" si="6"/>
        <v>10058.4</v>
      </c>
      <c r="E21" s="4" t="s">
        <v>9</v>
      </c>
      <c r="F21" s="4" t="s">
        <v>23</v>
      </c>
      <c r="G21" s="5">
        <v>26.807400000000001</v>
      </c>
      <c r="H21" s="5">
        <v>-63.750500000000002</v>
      </c>
      <c r="I21" s="10">
        <v>157</v>
      </c>
      <c r="J21">
        <f t="shared" si="7"/>
        <v>290.76400000000001</v>
      </c>
      <c r="K21" s="12">
        <f t="shared" si="8"/>
        <v>0.32307111111111114</v>
      </c>
      <c r="L21" s="11">
        <f t="shared" si="5"/>
        <v>1.3461296296296298E-2</v>
      </c>
      <c r="M21" s="11">
        <f t="shared" si="9"/>
        <v>8.6405231481481493E-2</v>
      </c>
      <c r="N21" s="30">
        <f t="shared" si="1"/>
        <v>2</v>
      </c>
      <c r="O21" s="30">
        <f t="shared" si="2"/>
        <v>4</v>
      </c>
      <c r="P21" s="30">
        <f t="shared" si="3"/>
        <v>25</v>
      </c>
      <c r="Q21" s="31">
        <f t="shared" si="4"/>
        <v>7465</v>
      </c>
    </row>
    <row r="22" spans="1:17" x14ac:dyDescent="0.3">
      <c r="A22" s="6" t="s">
        <v>6</v>
      </c>
      <c r="B22" s="7" t="s">
        <v>7</v>
      </c>
      <c r="C22" s="8">
        <v>33000</v>
      </c>
      <c r="D22" s="8">
        <f t="shared" si="6"/>
        <v>10058.4</v>
      </c>
      <c r="E22" s="7" t="s">
        <v>9</v>
      </c>
      <c r="F22" s="7" t="s">
        <v>24</v>
      </c>
      <c r="G22" s="8">
        <v>25</v>
      </c>
      <c r="H22" s="8">
        <v>-60</v>
      </c>
      <c r="I22">
        <v>230</v>
      </c>
      <c r="J22">
        <f t="shared" si="7"/>
        <v>425.96000000000004</v>
      </c>
      <c r="K22" s="12">
        <f>J22/900</f>
        <v>0.47328888888888893</v>
      </c>
      <c r="L22" s="11">
        <f t="shared" si="5"/>
        <v>1.9720370370370371E-2</v>
      </c>
      <c r="M22" s="11">
        <f t="shared" si="9"/>
        <v>0.10612560185185187</v>
      </c>
      <c r="N22" s="30">
        <f t="shared" si="1"/>
        <v>2</v>
      </c>
      <c r="O22" s="30">
        <f t="shared" si="2"/>
        <v>32</v>
      </c>
      <c r="P22" s="30">
        <f t="shared" si="3"/>
        <v>49</v>
      </c>
      <c r="Q22" s="31">
        <f t="shared" si="4"/>
        <v>9169</v>
      </c>
    </row>
    <row r="23" spans="1:17" x14ac:dyDescent="0.3">
      <c r="A23" s="3" t="s">
        <v>6</v>
      </c>
      <c r="B23" s="4" t="s">
        <v>7</v>
      </c>
      <c r="C23" s="5">
        <v>33000</v>
      </c>
      <c r="D23" s="8">
        <f t="shared" si="6"/>
        <v>10058.4</v>
      </c>
      <c r="E23" s="4" t="s">
        <v>9</v>
      </c>
      <c r="F23" s="4" t="s">
        <v>25</v>
      </c>
      <c r="G23" s="5">
        <v>18</v>
      </c>
      <c r="H23" s="5">
        <v>-45.38</v>
      </c>
      <c r="I23" s="10">
        <v>918</v>
      </c>
      <c r="J23">
        <f t="shared" si="7"/>
        <v>1700.1360000000002</v>
      </c>
      <c r="K23" s="12">
        <f>J23/900</f>
        <v>1.8890400000000003</v>
      </c>
      <c r="L23" s="11">
        <f t="shared" si="5"/>
        <v>7.8710000000000016E-2</v>
      </c>
      <c r="M23" s="11">
        <f t="shared" si="9"/>
        <v>0.18483560185185188</v>
      </c>
      <c r="N23" s="30">
        <f t="shared" si="1"/>
        <v>4</v>
      </c>
      <c r="O23" s="30">
        <f t="shared" si="2"/>
        <v>26</v>
      </c>
      <c r="P23" s="30">
        <f t="shared" si="3"/>
        <v>10</v>
      </c>
      <c r="Q23" s="31">
        <f t="shared" si="4"/>
        <v>15970</v>
      </c>
    </row>
    <row r="24" spans="1:17" x14ac:dyDescent="0.3">
      <c r="A24" s="6" t="s">
        <v>6</v>
      </c>
      <c r="B24" s="7" t="s">
        <v>7</v>
      </c>
      <c r="C24" s="8">
        <v>33000</v>
      </c>
      <c r="D24" s="8">
        <f t="shared" si="6"/>
        <v>10058.4</v>
      </c>
      <c r="E24" s="7" t="s">
        <v>9</v>
      </c>
      <c r="F24" s="7" t="s">
        <v>26</v>
      </c>
      <c r="G24" s="8">
        <v>15.333299999999999</v>
      </c>
      <c r="H24" s="8">
        <v>-40</v>
      </c>
      <c r="I24">
        <v>348</v>
      </c>
      <c r="J24">
        <f t="shared" si="7"/>
        <v>644.49599999999998</v>
      </c>
      <c r="K24" s="12">
        <f t="shared" si="8"/>
        <v>0.71610666666666667</v>
      </c>
      <c r="L24" s="11">
        <f t="shared" si="5"/>
        <v>2.9837777777777779E-2</v>
      </c>
      <c r="M24" s="11">
        <f t="shared" si="9"/>
        <v>0.21467337962962965</v>
      </c>
      <c r="N24" s="30">
        <f t="shared" si="1"/>
        <v>5</v>
      </c>
      <c r="O24" s="30">
        <f t="shared" si="2"/>
        <v>9</v>
      </c>
      <c r="P24" s="30">
        <f t="shared" si="3"/>
        <v>8</v>
      </c>
      <c r="Q24" s="31">
        <f t="shared" si="4"/>
        <v>18548</v>
      </c>
    </row>
    <row r="25" spans="1:17" x14ac:dyDescent="0.3">
      <c r="A25" s="3" t="s">
        <v>6</v>
      </c>
      <c r="B25" s="4" t="s">
        <v>7</v>
      </c>
      <c r="C25" s="5">
        <v>33000</v>
      </c>
      <c r="D25" s="8">
        <f t="shared" si="6"/>
        <v>10058.4</v>
      </c>
      <c r="E25" s="4" t="s">
        <v>9</v>
      </c>
      <c r="F25" s="4" t="s">
        <v>27</v>
      </c>
      <c r="G25" s="5">
        <v>14</v>
      </c>
      <c r="H25" s="5">
        <v>-37.433300000000003</v>
      </c>
      <c r="I25" s="10">
        <v>169</v>
      </c>
      <c r="J25">
        <f t="shared" si="7"/>
        <v>312.988</v>
      </c>
      <c r="K25" s="12">
        <f t="shared" si="8"/>
        <v>0.34776444444444443</v>
      </c>
      <c r="L25" s="11">
        <f t="shared" si="5"/>
        <v>1.4490185185185184E-2</v>
      </c>
      <c r="M25" s="11">
        <f t="shared" si="9"/>
        <v>0.22916356481481484</v>
      </c>
      <c r="N25" s="30">
        <f t="shared" si="1"/>
        <v>5</v>
      </c>
      <c r="O25" s="30">
        <f t="shared" si="2"/>
        <v>30</v>
      </c>
      <c r="P25" s="30">
        <f t="shared" si="3"/>
        <v>0</v>
      </c>
      <c r="Q25" s="31">
        <f t="shared" si="4"/>
        <v>19800</v>
      </c>
    </row>
    <row r="26" spans="1:17" x14ac:dyDescent="0.3">
      <c r="A26" s="6" t="s">
        <v>6</v>
      </c>
      <c r="B26" s="7" t="s">
        <v>7</v>
      </c>
      <c r="C26" s="8">
        <v>33000</v>
      </c>
      <c r="D26" s="8">
        <f t="shared" si="6"/>
        <v>10058.4</v>
      </c>
      <c r="E26" s="7" t="s">
        <v>9</v>
      </c>
      <c r="F26" s="7" t="s">
        <v>28</v>
      </c>
      <c r="G26" s="8">
        <v>11.851100000000001</v>
      </c>
      <c r="H26" s="8">
        <v>-34.383899999999997</v>
      </c>
      <c r="I26">
        <v>220</v>
      </c>
      <c r="J26">
        <f t="shared" si="7"/>
        <v>407.44</v>
      </c>
      <c r="K26" s="12">
        <f t="shared" si="8"/>
        <v>0.45271111111111112</v>
      </c>
      <c r="L26" s="11">
        <f t="shared" si="5"/>
        <v>1.8862962962962963E-2</v>
      </c>
      <c r="M26" s="11">
        <f t="shared" si="9"/>
        <v>0.24802652777777781</v>
      </c>
      <c r="N26" s="30">
        <f t="shared" si="1"/>
        <v>5</v>
      </c>
      <c r="O26" s="30">
        <f t="shared" si="2"/>
        <v>57</v>
      </c>
      <c r="P26" s="30">
        <f t="shared" si="3"/>
        <v>9</v>
      </c>
      <c r="Q26" s="31">
        <f t="shared" si="4"/>
        <v>21429</v>
      </c>
    </row>
    <row r="27" spans="1:17" x14ac:dyDescent="0.3">
      <c r="A27" s="3" t="s">
        <v>6</v>
      </c>
      <c r="B27" s="4" t="s">
        <v>7</v>
      </c>
      <c r="C27" s="5">
        <v>33000</v>
      </c>
      <c r="D27" s="8">
        <f t="shared" si="6"/>
        <v>10058.4</v>
      </c>
      <c r="E27" s="4" t="s">
        <v>9</v>
      </c>
      <c r="F27" s="4" t="s">
        <v>29</v>
      </c>
      <c r="G27" s="5">
        <v>9.6608999999999998</v>
      </c>
      <c r="H27" s="5">
        <v>-31.3705</v>
      </c>
      <c r="I27" s="10">
        <v>221</v>
      </c>
      <c r="J27">
        <f t="shared" si="7"/>
        <v>409.29200000000003</v>
      </c>
      <c r="K27" s="12">
        <f t="shared" si="8"/>
        <v>0.45476888888888894</v>
      </c>
      <c r="L27" s="11">
        <f t="shared" si="5"/>
        <v>1.8948703703703707E-2</v>
      </c>
      <c r="M27" s="11">
        <f t="shared" si="9"/>
        <v>0.2669752314814815</v>
      </c>
      <c r="N27" s="30">
        <f t="shared" si="1"/>
        <v>6</v>
      </c>
      <c r="O27" s="30">
        <f t="shared" si="2"/>
        <v>24</v>
      </c>
      <c r="P27" s="30">
        <f t="shared" si="3"/>
        <v>27</v>
      </c>
      <c r="Q27" s="31">
        <f t="shared" si="4"/>
        <v>23067</v>
      </c>
    </row>
    <row r="28" spans="1:17" x14ac:dyDescent="0.3">
      <c r="A28" s="6" t="s">
        <v>6</v>
      </c>
      <c r="B28" s="7" t="s">
        <v>7</v>
      </c>
      <c r="C28" s="8">
        <v>33000</v>
      </c>
      <c r="D28" s="8">
        <f t="shared" si="6"/>
        <v>10058.4</v>
      </c>
      <c r="E28" s="7" t="s">
        <v>9</v>
      </c>
      <c r="F28" s="7" t="s">
        <v>30</v>
      </c>
      <c r="G28" s="8">
        <v>8.4839000000000002</v>
      </c>
      <c r="H28" s="8">
        <v>-29.783100000000001</v>
      </c>
      <c r="I28">
        <v>118</v>
      </c>
      <c r="J28">
        <f t="shared" si="7"/>
        <v>218.536</v>
      </c>
      <c r="K28" s="12">
        <f t="shared" si="8"/>
        <v>0.24281777777777777</v>
      </c>
      <c r="L28" s="11">
        <f t="shared" si="5"/>
        <v>1.0117407407407407E-2</v>
      </c>
      <c r="M28" s="11">
        <f t="shared" si="9"/>
        <v>0.27709263888888891</v>
      </c>
      <c r="N28" s="30">
        <f t="shared" si="1"/>
        <v>6</v>
      </c>
      <c r="O28" s="30">
        <f t="shared" si="2"/>
        <v>39</v>
      </c>
      <c r="P28" s="30">
        <f t="shared" si="3"/>
        <v>1</v>
      </c>
      <c r="Q28" s="31">
        <f t="shared" si="4"/>
        <v>23941</v>
      </c>
    </row>
    <row r="29" spans="1:17" x14ac:dyDescent="0.3">
      <c r="A29" s="3" t="s">
        <v>6</v>
      </c>
      <c r="B29" s="4" t="s">
        <v>7</v>
      </c>
      <c r="C29" s="5">
        <v>33000</v>
      </c>
      <c r="D29" s="8">
        <f t="shared" si="6"/>
        <v>10058.4</v>
      </c>
      <c r="E29" s="4" t="s">
        <v>9</v>
      </c>
      <c r="F29" s="4" t="s">
        <v>31</v>
      </c>
      <c r="G29" s="5">
        <v>9.7949999999999999</v>
      </c>
      <c r="H29" s="5">
        <v>-29.031700000000001</v>
      </c>
      <c r="I29" s="10">
        <v>90</v>
      </c>
      <c r="J29">
        <f t="shared" si="7"/>
        <v>166.68</v>
      </c>
      <c r="K29" s="12">
        <f t="shared" si="8"/>
        <v>0.1852</v>
      </c>
      <c r="L29" s="11">
        <f t="shared" si="5"/>
        <v>7.7166666666666668E-3</v>
      </c>
      <c r="M29" s="11">
        <f t="shared" si="9"/>
        <v>0.28480930555555556</v>
      </c>
      <c r="N29" s="30">
        <f t="shared" si="1"/>
        <v>6</v>
      </c>
      <c r="O29" s="30">
        <f t="shared" si="2"/>
        <v>50</v>
      </c>
      <c r="P29" s="30">
        <f t="shared" si="3"/>
        <v>8</v>
      </c>
      <c r="Q29" s="31">
        <f t="shared" si="4"/>
        <v>24608</v>
      </c>
    </row>
    <row r="30" spans="1:17" x14ac:dyDescent="0.3">
      <c r="A30" s="6" t="s">
        <v>6</v>
      </c>
      <c r="B30" s="7" t="s">
        <v>7</v>
      </c>
      <c r="C30" s="8">
        <v>33000</v>
      </c>
      <c r="D30" s="8">
        <f t="shared" si="6"/>
        <v>10058.4</v>
      </c>
      <c r="E30" s="7" t="s">
        <v>9</v>
      </c>
      <c r="F30" s="7" t="s">
        <v>32</v>
      </c>
      <c r="G30" s="8">
        <v>14.353300000000001</v>
      </c>
      <c r="H30" s="8">
        <v>-26.3583</v>
      </c>
      <c r="I30">
        <v>315</v>
      </c>
      <c r="J30">
        <f t="shared" si="7"/>
        <v>583.38</v>
      </c>
      <c r="K30" s="12">
        <f t="shared" si="8"/>
        <v>0.6482</v>
      </c>
      <c r="L30" s="11">
        <f t="shared" si="5"/>
        <v>2.7008333333333332E-2</v>
      </c>
      <c r="M30" s="11">
        <f t="shared" si="9"/>
        <v>0.31181763888888892</v>
      </c>
      <c r="N30" s="30">
        <f t="shared" si="1"/>
        <v>7</v>
      </c>
      <c r="O30" s="30">
        <f t="shared" si="2"/>
        <v>29</v>
      </c>
      <c r="P30" s="30">
        <f t="shared" si="3"/>
        <v>1</v>
      </c>
      <c r="Q30" s="31">
        <f t="shared" si="4"/>
        <v>26941</v>
      </c>
    </row>
    <row r="31" spans="1:17" x14ac:dyDescent="0.3">
      <c r="A31" s="3" t="s">
        <v>6</v>
      </c>
      <c r="B31" s="4" t="s">
        <v>7</v>
      </c>
      <c r="C31" s="5">
        <v>33000</v>
      </c>
      <c r="D31" s="8">
        <f t="shared" si="6"/>
        <v>10058.4</v>
      </c>
      <c r="E31" s="4" t="s">
        <v>9</v>
      </c>
      <c r="F31" s="4" t="s">
        <v>33</v>
      </c>
      <c r="G31" s="5">
        <v>17.718299999999999</v>
      </c>
      <c r="H31" s="5">
        <v>-24.3033</v>
      </c>
      <c r="I31" s="10">
        <v>234</v>
      </c>
      <c r="J31">
        <f t="shared" si="7"/>
        <v>433.36799999999999</v>
      </c>
      <c r="K31" s="12">
        <f t="shared" si="8"/>
        <v>0.48152</v>
      </c>
      <c r="L31" s="11">
        <f t="shared" si="5"/>
        <v>2.0063333333333332E-2</v>
      </c>
      <c r="M31" s="11">
        <f t="shared" si="9"/>
        <v>0.33188097222222224</v>
      </c>
      <c r="N31" s="30">
        <f t="shared" si="1"/>
        <v>7</v>
      </c>
      <c r="O31" s="30">
        <f t="shared" si="2"/>
        <v>57</v>
      </c>
      <c r="P31" s="30">
        <f t="shared" si="3"/>
        <v>55</v>
      </c>
      <c r="Q31" s="31">
        <f t="shared" si="4"/>
        <v>28675</v>
      </c>
    </row>
    <row r="32" spans="1:17" x14ac:dyDescent="0.3">
      <c r="A32" s="6" t="s">
        <v>6</v>
      </c>
      <c r="B32" s="7" t="s">
        <v>7</v>
      </c>
      <c r="C32" s="8">
        <v>33000</v>
      </c>
      <c r="D32" s="8">
        <f t="shared" si="6"/>
        <v>10058.4</v>
      </c>
      <c r="E32" s="7" t="s">
        <v>9</v>
      </c>
      <c r="F32" s="7" t="s">
        <v>34</v>
      </c>
      <c r="G32" s="8">
        <v>21.361699999999999</v>
      </c>
      <c r="H32" s="8">
        <v>-21.973299999999998</v>
      </c>
      <c r="I32">
        <v>255</v>
      </c>
      <c r="J32">
        <f t="shared" si="7"/>
        <v>472.26000000000005</v>
      </c>
      <c r="K32" s="12">
        <f t="shared" si="8"/>
        <v>0.52473333333333338</v>
      </c>
      <c r="L32" s="11">
        <f t="shared" si="5"/>
        <v>2.1863888888888891E-2</v>
      </c>
      <c r="M32" s="11">
        <f t="shared" si="9"/>
        <v>0.35374486111111114</v>
      </c>
      <c r="N32" s="30">
        <f t="shared" si="1"/>
        <v>8</v>
      </c>
      <c r="O32" s="30">
        <f t="shared" si="2"/>
        <v>29</v>
      </c>
      <c r="P32" s="30">
        <f t="shared" si="3"/>
        <v>24</v>
      </c>
      <c r="Q32" s="31">
        <f t="shared" si="4"/>
        <v>30564</v>
      </c>
    </row>
    <row r="33" spans="1:17" x14ac:dyDescent="0.3">
      <c r="A33" s="3" t="s">
        <v>6</v>
      </c>
      <c r="B33" s="4" t="s">
        <v>7</v>
      </c>
      <c r="C33" s="5">
        <v>33000</v>
      </c>
      <c r="D33" s="8">
        <f t="shared" si="6"/>
        <v>10058.4</v>
      </c>
      <c r="E33" s="4" t="s">
        <v>9</v>
      </c>
      <c r="F33" s="4" t="s">
        <v>35</v>
      </c>
      <c r="G33" s="5">
        <v>23.066700000000001</v>
      </c>
      <c r="H33" s="5">
        <v>-20.836400000000001</v>
      </c>
      <c r="I33" s="10">
        <v>120</v>
      </c>
      <c r="J33">
        <f t="shared" si="7"/>
        <v>222.24</v>
      </c>
      <c r="K33" s="12">
        <f t="shared" si="8"/>
        <v>0.24693333333333334</v>
      </c>
      <c r="L33" s="11">
        <f t="shared" si="5"/>
        <v>1.0288888888888889E-2</v>
      </c>
      <c r="M33" s="11">
        <f t="shared" si="9"/>
        <v>0.36403375000000004</v>
      </c>
      <c r="N33" s="30">
        <f t="shared" si="1"/>
        <v>8</v>
      </c>
      <c r="O33" s="30">
        <f t="shared" si="2"/>
        <v>44</v>
      </c>
      <c r="P33" s="30">
        <f t="shared" si="3"/>
        <v>13</v>
      </c>
      <c r="Q33" s="31">
        <f t="shared" si="4"/>
        <v>31453</v>
      </c>
    </row>
    <row r="34" spans="1:17" x14ac:dyDescent="0.3">
      <c r="A34" s="6" t="s">
        <v>6</v>
      </c>
      <c r="B34" s="7" t="s">
        <v>7</v>
      </c>
      <c r="C34" s="8">
        <v>33000</v>
      </c>
      <c r="D34" s="8">
        <f t="shared" si="6"/>
        <v>10058.4</v>
      </c>
      <c r="E34" s="7" t="s">
        <v>9</v>
      </c>
      <c r="F34" s="7" t="s">
        <v>36</v>
      </c>
      <c r="G34" s="8">
        <v>25</v>
      </c>
      <c r="H34" s="8">
        <v>-19.5047</v>
      </c>
      <c r="I34">
        <v>137</v>
      </c>
      <c r="J34">
        <f t="shared" si="7"/>
        <v>253.72400000000002</v>
      </c>
      <c r="K34" s="12">
        <f t="shared" si="8"/>
        <v>0.28191555555555559</v>
      </c>
      <c r="L34" s="11">
        <f t="shared" si="5"/>
        <v>1.1746481481481483E-2</v>
      </c>
      <c r="M34" s="11">
        <f t="shared" si="9"/>
        <v>0.37578023148148154</v>
      </c>
      <c r="N34" s="30">
        <f t="shared" si="1"/>
        <v>9</v>
      </c>
      <c r="O34" s="30">
        <f t="shared" si="2"/>
        <v>1</v>
      </c>
      <c r="P34" s="30">
        <f t="shared" si="3"/>
        <v>7</v>
      </c>
      <c r="Q34" s="31">
        <f t="shared" si="4"/>
        <v>32467</v>
      </c>
    </row>
    <row r="35" spans="1:17" x14ac:dyDescent="0.3">
      <c r="A35" s="3" t="s">
        <v>6</v>
      </c>
      <c r="B35" s="4" t="s">
        <v>7</v>
      </c>
      <c r="C35" s="5">
        <v>33000</v>
      </c>
      <c r="D35" s="8">
        <f t="shared" si="6"/>
        <v>10058.4</v>
      </c>
      <c r="E35" s="4" t="s">
        <v>9</v>
      </c>
      <c r="F35" s="4" t="s">
        <v>37</v>
      </c>
      <c r="G35" s="5">
        <v>25.710599999999999</v>
      </c>
      <c r="H35" s="5">
        <v>-18.5961</v>
      </c>
      <c r="I35" s="10">
        <v>65</v>
      </c>
      <c r="J35">
        <f t="shared" si="7"/>
        <v>120.38000000000001</v>
      </c>
      <c r="K35" s="12">
        <f t="shared" si="8"/>
        <v>0.13375555555555557</v>
      </c>
      <c r="L35" s="11">
        <f t="shared" si="5"/>
        <v>5.5731481481481491E-3</v>
      </c>
      <c r="M35" s="11">
        <f t="shared" si="9"/>
        <v>0.38135337962962967</v>
      </c>
      <c r="N35" s="30">
        <f t="shared" si="1"/>
        <v>9</v>
      </c>
      <c r="O35" s="30">
        <f t="shared" si="2"/>
        <v>9</v>
      </c>
      <c r="P35" s="30">
        <f t="shared" si="3"/>
        <v>9</v>
      </c>
      <c r="Q35" s="31">
        <f t="shared" si="4"/>
        <v>32949</v>
      </c>
    </row>
    <row r="36" spans="1:17" x14ac:dyDescent="0.3">
      <c r="A36" s="6" t="s">
        <v>6</v>
      </c>
      <c r="B36" s="7" t="s">
        <v>7</v>
      </c>
      <c r="C36" s="8">
        <v>33000</v>
      </c>
      <c r="D36" s="8">
        <f t="shared" si="6"/>
        <v>10058.4</v>
      </c>
      <c r="E36" s="7" t="s">
        <v>9</v>
      </c>
      <c r="F36" s="7" t="s">
        <v>38</v>
      </c>
      <c r="G36" s="8">
        <v>26.894400000000001</v>
      </c>
      <c r="H36" s="8">
        <v>-17.04</v>
      </c>
      <c r="I36">
        <v>110</v>
      </c>
      <c r="J36">
        <f t="shared" si="7"/>
        <v>203.72</v>
      </c>
      <c r="K36" s="12">
        <f t="shared" si="8"/>
        <v>0.22635555555555556</v>
      </c>
      <c r="L36" s="11">
        <f t="shared" si="5"/>
        <v>9.4314814814814817E-3</v>
      </c>
      <c r="M36" s="11">
        <f t="shared" si="9"/>
        <v>0.39078486111111116</v>
      </c>
      <c r="N36" s="30">
        <f t="shared" si="1"/>
        <v>9</v>
      </c>
      <c r="O36" s="30">
        <f t="shared" si="2"/>
        <v>22</v>
      </c>
      <c r="P36" s="30">
        <f t="shared" si="3"/>
        <v>44</v>
      </c>
      <c r="Q36" s="31">
        <f t="shared" si="4"/>
        <v>33764</v>
      </c>
    </row>
    <row r="37" spans="1:17" x14ac:dyDescent="0.3">
      <c r="A37" s="3" t="s">
        <v>6</v>
      </c>
      <c r="B37" s="4" t="s">
        <v>7</v>
      </c>
      <c r="C37" s="5">
        <v>33000</v>
      </c>
      <c r="D37" s="8">
        <f t="shared" si="6"/>
        <v>10058.4</v>
      </c>
      <c r="E37" s="4" t="s">
        <v>8</v>
      </c>
      <c r="F37" s="4" t="s">
        <v>39</v>
      </c>
      <c r="G37" s="5">
        <v>28.077200000000001</v>
      </c>
      <c r="H37" s="5">
        <v>-15.428900000000001</v>
      </c>
      <c r="I37" s="10">
        <v>111</v>
      </c>
      <c r="J37">
        <f t="shared" si="7"/>
        <v>205.572</v>
      </c>
      <c r="K37" s="12">
        <f t="shared" si="8"/>
        <v>0.22841333333333333</v>
      </c>
      <c r="L37" s="11">
        <f t="shared" si="5"/>
        <v>9.5172222222222221E-3</v>
      </c>
      <c r="M37" s="11">
        <f t="shared" si="9"/>
        <v>0.40030208333333339</v>
      </c>
      <c r="N37" s="30">
        <f t="shared" si="1"/>
        <v>9</v>
      </c>
      <c r="O37" s="30">
        <f t="shared" si="2"/>
        <v>36</v>
      </c>
      <c r="P37" s="30">
        <f t="shared" si="3"/>
        <v>26</v>
      </c>
      <c r="Q37" s="31">
        <f t="shared" si="4"/>
        <v>34586</v>
      </c>
    </row>
    <row r="38" spans="1:17" x14ac:dyDescent="0.3">
      <c r="A38" s="6" t="s">
        <v>6</v>
      </c>
      <c r="B38" s="7" t="s">
        <v>7</v>
      </c>
      <c r="C38" s="8">
        <v>33000</v>
      </c>
      <c r="D38" s="8">
        <f t="shared" si="6"/>
        <v>10058.4</v>
      </c>
      <c r="E38" s="7" t="s">
        <v>8</v>
      </c>
      <c r="F38" s="7" t="s">
        <v>40</v>
      </c>
      <c r="G38" s="8">
        <v>29.1661</v>
      </c>
      <c r="H38" s="8">
        <v>-13.5108</v>
      </c>
      <c r="I38">
        <v>120</v>
      </c>
      <c r="J38">
        <f t="shared" si="7"/>
        <v>222.24</v>
      </c>
      <c r="K38" s="12">
        <f t="shared" si="8"/>
        <v>0.24693333333333334</v>
      </c>
      <c r="L38" s="11">
        <f t="shared" si="5"/>
        <v>1.0288888888888889E-2</v>
      </c>
      <c r="M38" s="11">
        <f t="shared" si="9"/>
        <v>0.41059097222222229</v>
      </c>
      <c r="N38" s="30">
        <f t="shared" si="1"/>
        <v>9</v>
      </c>
      <c r="O38" s="30">
        <f t="shared" si="2"/>
        <v>51</v>
      </c>
      <c r="P38" s="30">
        <f t="shared" si="3"/>
        <v>15</v>
      </c>
      <c r="Q38" s="31">
        <f t="shared" si="4"/>
        <v>35475</v>
      </c>
    </row>
    <row r="39" spans="1:17" x14ac:dyDescent="0.3">
      <c r="A39" s="3" t="s">
        <v>6</v>
      </c>
      <c r="B39" s="4" t="s">
        <v>7</v>
      </c>
      <c r="C39" s="5">
        <v>33000</v>
      </c>
      <c r="D39" s="8">
        <f t="shared" si="6"/>
        <v>10058.4</v>
      </c>
      <c r="E39" s="4" t="s">
        <v>9</v>
      </c>
      <c r="F39" s="4" t="s">
        <v>41</v>
      </c>
      <c r="G39" s="5">
        <v>29.731400000000001</v>
      </c>
      <c r="H39" s="5">
        <v>-12.5783</v>
      </c>
      <c r="I39" s="10">
        <v>59</v>
      </c>
      <c r="J39">
        <f t="shared" si="7"/>
        <v>109.268</v>
      </c>
      <c r="K39" s="12">
        <f t="shared" si="8"/>
        <v>0.12140888888888889</v>
      </c>
      <c r="L39" s="11">
        <f t="shared" si="5"/>
        <v>5.0587037037037033E-3</v>
      </c>
      <c r="M39" s="11">
        <f t="shared" si="9"/>
        <v>0.415649675925926</v>
      </c>
      <c r="N39" s="30">
        <f t="shared" si="1"/>
        <v>9</v>
      </c>
      <c r="O39" s="30">
        <f t="shared" si="2"/>
        <v>58</v>
      </c>
      <c r="P39" s="30">
        <f t="shared" si="3"/>
        <v>32</v>
      </c>
      <c r="Q39" s="31">
        <f t="shared" si="4"/>
        <v>35912</v>
      </c>
    </row>
    <row r="40" spans="1:17" x14ac:dyDescent="0.3">
      <c r="A40" s="6" t="s">
        <v>6</v>
      </c>
      <c r="B40" s="7" t="s">
        <v>7</v>
      </c>
      <c r="C40" s="8">
        <v>33000</v>
      </c>
      <c r="D40" s="8">
        <f t="shared" si="6"/>
        <v>10058.4</v>
      </c>
      <c r="E40" s="7" t="s">
        <v>9</v>
      </c>
      <c r="F40" s="7" t="s">
        <v>42</v>
      </c>
      <c r="G40" s="8">
        <v>30.0122</v>
      </c>
      <c r="H40" s="8">
        <v>-12.101900000000001</v>
      </c>
      <c r="I40">
        <v>30</v>
      </c>
      <c r="J40">
        <f t="shared" si="7"/>
        <v>55.56</v>
      </c>
      <c r="K40" s="12">
        <f t="shared" si="8"/>
        <v>6.1733333333333335E-2</v>
      </c>
      <c r="L40" s="11">
        <f t="shared" si="5"/>
        <v>2.5722222222222223E-3</v>
      </c>
      <c r="M40" s="11">
        <f t="shared" si="9"/>
        <v>0.4182218981481482</v>
      </c>
      <c r="N40" s="30">
        <f t="shared" si="1"/>
        <v>10</v>
      </c>
      <c r="O40" s="30">
        <f t="shared" si="2"/>
        <v>2</v>
      </c>
      <c r="P40" s="30">
        <f t="shared" si="3"/>
        <v>14</v>
      </c>
      <c r="Q40" s="31">
        <f t="shared" si="4"/>
        <v>36134</v>
      </c>
    </row>
    <row r="41" spans="1:17" x14ac:dyDescent="0.3">
      <c r="A41" s="3" t="s">
        <v>6</v>
      </c>
      <c r="B41" s="4" t="s">
        <v>7</v>
      </c>
      <c r="C41" s="5">
        <v>33000</v>
      </c>
      <c r="D41" s="8">
        <f t="shared" si="6"/>
        <v>10058.4</v>
      </c>
      <c r="E41" s="4" t="s">
        <v>9</v>
      </c>
      <c r="F41" s="4" t="s">
        <v>43</v>
      </c>
      <c r="G41" s="5">
        <v>35.833300000000001</v>
      </c>
      <c r="H41" s="5">
        <v>-6.3239000000000001</v>
      </c>
      <c r="I41" s="10">
        <v>455</v>
      </c>
      <c r="J41">
        <f t="shared" si="7"/>
        <v>842.66000000000008</v>
      </c>
      <c r="K41" s="12">
        <f t="shared" si="8"/>
        <v>0.93628888888888895</v>
      </c>
      <c r="L41" s="11">
        <f t="shared" si="5"/>
        <v>3.901203703703704E-2</v>
      </c>
      <c r="M41" s="11">
        <f t="shared" si="9"/>
        <v>0.45723393518518524</v>
      </c>
      <c r="N41" s="30">
        <f t="shared" si="1"/>
        <v>10</v>
      </c>
      <c r="O41" s="30">
        <f t="shared" si="2"/>
        <v>58</v>
      </c>
      <c r="P41" s="30">
        <f t="shared" si="3"/>
        <v>25</v>
      </c>
      <c r="Q41" s="31">
        <f t="shared" si="4"/>
        <v>39505</v>
      </c>
    </row>
    <row r="42" spans="1:17" x14ac:dyDescent="0.3">
      <c r="A42" s="6" t="s">
        <v>6</v>
      </c>
      <c r="B42" s="7" t="s">
        <v>7</v>
      </c>
      <c r="C42" s="8">
        <v>33000</v>
      </c>
      <c r="D42" s="8">
        <f t="shared" si="6"/>
        <v>10058.4</v>
      </c>
      <c r="E42" s="7" t="s">
        <v>8</v>
      </c>
      <c r="F42" s="7" t="s">
        <v>44</v>
      </c>
      <c r="G42" s="8">
        <v>36.239400000000003</v>
      </c>
      <c r="H42" s="8">
        <v>-5.9756</v>
      </c>
      <c r="I42">
        <v>30</v>
      </c>
      <c r="J42">
        <f t="shared" si="7"/>
        <v>55.56</v>
      </c>
      <c r="K42" s="12">
        <f t="shared" si="8"/>
        <v>6.1733333333333335E-2</v>
      </c>
      <c r="L42" s="11">
        <f t="shared" si="5"/>
        <v>2.5722222222222223E-3</v>
      </c>
      <c r="M42" s="11">
        <f t="shared" si="9"/>
        <v>0.45980615740740743</v>
      </c>
      <c r="N42" s="30">
        <f t="shared" si="1"/>
        <v>11</v>
      </c>
      <c r="O42" s="30">
        <f t="shared" si="2"/>
        <v>2</v>
      </c>
      <c r="P42" s="30">
        <f t="shared" si="3"/>
        <v>7</v>
      </c>
      <c r="Q42" s="31">
        <f t="shared" si="4"/>
        <v>39727</v>
      </c>
    </row>
    <row r="43" spans="1:17" x14ac:dyDescent="0.3">
      <c r="A43" s="3" t="s">
        <v>6</v>
      </c>
      <c r="B43" s="4" t="s">
        <v>7</v>
      </c>
      <c r="C43" s="5">
        <v>33000</v>
      </c>
      <c r="D43" s="8">
        <f t="shared" si="6"/>
        <v>10058.4</v>
      </c>
      <c r="E43" s="4" t="s">
        <v>8</v>
      </c>
      <c r="F43" s="4" t="s">
        <v>45</v>
      </c>
      <c r="G43" s="5">
        <v>37.427500000000002</v>
      </c>
      <c r="H43" s="5">
        <v>-5.7622</v>
      </c>
      <c r="I43" s="10">
        <v>72</v>
      </c>
      <c r="J43">
        <f t="shared" si="7"/>
        <v>133.34399999999999</v>
      </c>
      <c r="K43" s="12">
        <f t="shared" si="8"/>
        <v>0.14815999999999999</v>
      </c>
      <c r="L43" s="11">
        <f t="shared" si="5"/>
        <v>6.1733333333333328E-3</v>
      </c>
      <c r="M43" s="11">
        <f t="shared" si="9"/>
        <v>0.46597949074074074</v>
      </c>
      <c r="N43" s="30">
        <f t="shared" si="1"/>
        <v>11</v>
      </c>
      <c r="O43" s="30">
        <f t="shared" si="2"/>
        <v>11</v>
      </c>
      <c r="P43" s="30">
        <f t="shared" si="3"/>
        <v>1</v>
      </c>
      <c r="Q43" s="31">
        <f t="shared" si="4"/>
        <v>40261</v>
      </c>
    </row>
    <row r="44" spans="1:17" x14ac:dyDescent="0.3">
      <c r="A44" s="6" t="s">
        <v>6</v>
      </c>
      <c r="B44" s="7" t="s">
        <v>7</v>
      </c>
      <c r="C44" s="8">
        <v>33000</v>
      </c>
      <c r="D44" s="8">
        <f t="shared" si="6"/>
        <v>10058.4</v>
      </c>
      <c r="E44" s="7" t="s">
        <v>8</v>
      </c>
      <c r="F44" s="7" t="s">
        <v>46</v>
      </c>
      <c r="G44" s="8">
        <v>38.508099999999999</v>
      </c>
      <c r="H44" s="8">
        <v>-5.0997000000000003</v>
      </c>
      <c r="I44">
        <v>72</v>
      </c>
      <c r="J44">
        <f t="shared" si="7"/>
        <v>133.34399999999999</v>
      </c>
      <c r="K44" s="12">
        <f t="shared" si="8"/>
        <v>0.14815999999999999</v>
      </c>
      <c r="L44" s="11">
        <f t="shared" si="5"/>
        <v>6.1733333333333328E-3</v>
      </c>
      <c r="M44" s="11">
        <f t="shared" si="9"/>
        <v>0.47215282407407405</v>
      </c>
      <c r="N44" s="30">
        <f t="shared" si="1"/>
        <v>11</v>
      </c>
      <c r="O44" s="30">
        <f t="shared" si="2"/>
        <v>19</v>
      </c>
      <c r="P44" s="30">
        <f t="shared" si="3"/>
        <v>54</v>
      </c>
      <c r="Q44" s="31">
        <f t="shared" si="4"/>
        <v>40794</v>
      </c>
    </row>
    <row r="45" spans="1:17" x14ac:dyDescent="0.3">
      <c r="A45" s="3" t="s">
        <v>6</v>
      </c>
      <c r="B45" s="4" t="s">
        <v>7</v>
      </c>
      <c r="C45" s="5">
        <v>33000</v>
      </c>
      <c r="D45" s="8">
        <f t="shared" si="6"/>
        <v>10058.4</v>
      </c>
      <c r="E45" s="4" t="s">
        <v>9</v>
      </c>
      <c r="F45" s="4" t="s">
        <v>47</v>
      </c>
      <c r="G45" s="5">
        <v>39</v>
      </c>
      <c r="H45" s="5">
        <v>-4.8468999999999998</v>
      </c>
      <c r="I45" s="10">
        <v>32</v>
      </c>
      <c r="J45">
        <f t="shared" si="7"/>
        <v>59.264000000000003</v>
      </c>
      <c r="K45" s="12">
        <f t="shared" si="8"/>
        <v>6.5848888888888887E-2</v>
      </c>
      <c r="L45" s="11">
        <f t="shared" si="5"/>
        <v>2.7437037037037035E-3</v>
      </c>
      <c r="M45" s="11">
        <f t="shared" si="9"/>
        <v>0.47489652777777774</v>
      </c>
      <c r="N45" s="30">
        <f t="shared" si="1"/>
        <v>11</v>
      </c>
      <c r="O45" s="30">
        <f t="shared" si="2"/>
        <v>23</v>
      </c>
      <c r="P45" s="30">
        <f t="shared" si="3"/>
        <v>51</v>
      </c>
      <c r="Q45" s="31">
        <f t="shared" si="4"/>
        <v>41031</v>
      </c>
    </row>
    <row r="46" spans="1:17" x14ac:dyDescent="0.3">
      <c r="A46" s="6" t="s">
        <v>6</v>
      </c>
      <c r="B46" s="7" t="s">
        <v>7</v>
      </c>
      <c r="C46" s="8">
        <v>33000</v>
      </c>
      <c r="D46" s="8">
        <f t="shared" si="6"/>
        <v>10058.4</v>
      </c>
      <c r="E46" s="7" t="s">
        <v>9</v>
      </c>
      <c r="F46" s="7" t="s">
        <v>48</v>
      </c>
      <c r="G46" s="8">
        <v>39.193600000000004</v>
      </c>
      <c r="H46" s="8">
        <v>-4.7464000000000004</v>
      </c>
      <c r="I46">
        <v>12</v>
      </c>
      <c r="J46">
        <f t="shared" si="7"/>
        <v>22.224</v>
      </c>
      <c r="K46" s="12">
        <f>J46/800</f>
        <v>2.7779999999999999E-2</v>
      </c>
      <c r="L46" s="11">
        <f t="shared" si="5"/>
        <v>1.1574999999999999E-3</v>
      </c>
      <c r="M46" s="11">
        <f t="shared" si="9"/>
        <v>0.47605402777777772</v>
      </c>
      <c r="N46" s="30">
        <f t="shared" si="1"/>
        <v>11</v>
      </c>
      <c r="O46" s="30">
        <f t="shared" si="2"/>
        <v>25</v>
      </c>
      <c r="P46" s="30">
        <f t="shared" si="3"/>
        <v>31</v>
      </c>
      <c r="Q46" s="31">
        <f t="shared" si="4"/>
        <v>41131</v>
      </c>
    </row>
    <row r="47" spans="1:17" s="18" customFormat="1" x14ac:dyDescent="0.3">
      <c r="A47" s="25" t="s">
        <v>6</v>
      </c>
      <c r="B47" s="26" t="s">
        <v>7</v>
      </c>
      <c r="C47" s="27">
        <v>21000</v>
      </c>
      <c r="D47" s="27">
        <f t="shared" si="6"/>
        <v>6400.8</v>
      </c>
      <c r="E47" s="26" t="s">
        <v>58</v>
      </c>
      <c r="F47" s="26" t="s">
        <v>59</v>
      </c>
      <c r="G47" s="27">
        <v>39.310699999999997</v>
      </c>
      <c r="H47" s="27">
        <v>-4.1925999999999997</v>
      </c>
      <c r="I47" s="18">
        <v>27.7</v>
      </c>
      <c r="J47" s="18">
        <f>I47*1.852</f>
        <v>51.300400000000003</v>
      </c>
      <c r="K47" s="19">
        <f t="shared" ref="K47:K52" si="10">J47/400</f>
        <v>0.128251</v>
      </c>
      <c r="L47" s="20">
        <f t="shared" si="5"/>
        <v>5.3437916666666668E-3</v>
      </c>
      <c r="M47" s="20">
        <f t="shared" si="9"/>
        <v>0.48139781944444437</v>
      </c>
      <c r="N47" s="29">
        <f t="shared" si="1"/>
        <v>11</v>
      </c>
      <c r="O47" s="29">
        <f t="shared" si="2"/>
        <v>33</v>
      </c>
      <c r="P47" s="29">
        <f t="shared" si="3"/>
        <v>13</v>
      </c>
      <c r="Q47" s="18">
        <f t="shared" si="4"/>
        <v>41593</v>
      </c>
    </row>
    <row r="48" spans="1:17" s="18" customFormat="1" x14ac:dyDescent="0.3">
      <c r="A48" s="25" t="s">
        <v>6</v>
      </c>
      <c r="B48" s="26" t="s">
        <v>7</v>
      </c>
      <c r="C48" s="27">
        <v>15000</v>
      </c>
      <c r="D48" s="27">
        <f t="shared" si="6"/>
        <v>4572</v>
      </c>
      <c r="E48" s="26" t="s">
        <v>58</v>
      </c>
      <c r="F48" s="26" t="s">
        <v>60</v>
      </c>
      <c r="G48" s="27">
        <v>39.411299999999997</v>
      </c>
      <c r="H48" s="27">
        <v>-4.0609999999999999</v>
      </c>
      <c r="I48" s="18">
        <v>14.4</v>
      </c>
      <c r="J48" s="18">
        <f t="shared" ref="J48:J55" si="11">I48*1.852</f>
        <v>26.668800000000001</v>
      </c>
      <c r="K48" s="19">
        <f t="shared" si="10"/>
        <v>6.6672000000000009E-2</v>
      </c>
      <c r="L48" s="20">
        <f t="shared" si="5"/>
        <v>2.7780000000000005E-3</v>
      </c>
      <c r="M48" s="20">
        <f t="shared" si="9"/>
        <v>0.48417581944444438</v>
      </c>
      <c r="N48" s="29">
        <f t="shared" si="1"/>
        <v>11</v>
      </c>
      <c r="O48" s="29">
        <f t="shared" si="2"/>
        <v>37</v>
      </c>
      <c r="P48" s="29">
        <f t="shared" si="3"/>
        <v>13</v>
      </c>
      <c r="Q48" s="18">
        <f t="shared" si="4"/>
        <v>41833</v>
      </c>
    </row>
    <row r="49" spans="1:17" s="18" customFormat="1" x14ac:dyDescent="0.3">
      <c r="A49" s="25" t="s">
        <v>6</v>
      </c>
      <c r="B49" s="26" t="s">
        <v>7</v>
      </c>
      <c r="C49" s="27">
        <v>13000</v>
      </c>
      <c r="D49" s="27">
        <f t="shared" si="6"/>
        <v>3962.4</v>
      </c>
      <c r="E49" s="26" t="s">
        <v>58</v>
      </c>
      <c r="F49" s="26" t="s">
        <v>61</v>
      </c>
      <c r="G49" s="27">
        <v>39.483899999999998</v>
      </c>
      <c r="H49" s="27">
        <v>-3.5621</v>
      </c>
      <c r="I49" s="18">
        <v>10.6</v>
      </c>
      <c r="J49" s="18">
        <f t="shared" si="11"/>
        <v>19.6312</v>
      </c>
      <c r="K49" s="19">
        <f t="shared" si="10"/>
        <v>4.9077999999999997E-2</v>
      </c>
      <c r="L49" s="20">
        <f t="shared" si="5"/>
        <v>2.0449166666666667E-3</v>
      </c>
      <c r="M49" s="20">
        <f t="shared" si="9"/>
        <v>0.48622073611111105</v>
      </c>
      <c r="N49" s="29">
        <f t="shared" si="1"/>
        <v>11</v>
      </c>
      <c r="O49" s="29">
        <f t="shared" si="2"/>
        <v>40</v>
      </c>
      <c r="P49" s="29">
        <f t="shared" si="3"/>
        <v>9</v>
      </c>
      <c r="Q49" s="18">
        <f t="shared" si="4"/>
        <v>42009</v>
      </c>
    </row>
    <row r="50" spans="1:17" s="18" customFormat="1" x14ac:dyDescent="0.3">
      <c r="A50" s="25" t="s">
        <v>6</v>
      </c>
      <c r="B50" s="26" t="s">
        <v>7</v>
      </c>
      <c r="C50" s="27">
        <v>8000</v>
      </c>
      <c r="D50" s="27">
        <f t="shared" si="6"/>
        <v>2438.4</v>
      </c>
      <c r="E50" s="26" t="s">
        <v>58</v>
      </c>
      <c r="F50" s="26" t="s">
        <v>62</v>
      </c>
      <c r="G50" s="27">
        <v>39.5518</v>
      </c>
      <c r="H50" s="27">
        <v>-3.4731999999999998</v>
      </c>
      <c r="I50" s="18">
        <v>9.5</v>
      </c>
      <c r="J50" s="18">
        <f t="shared" si="11"/>
        <v>17.594000000000001</v>
      </c>
      <c r="K50" s="19">
        <f t="shared" si="10"/>
        <v>4.3985000000000003E-2</v>
      </c>
      <c r="L50" s="20">
        <f t="shared" si="5"/>
        <v>1.8327083333333335E-3</v>
      </c>
      <c r="M50" s="20">
        <f t="shared" si="9"/>
        <v>0.48805344444444437</v>
      </c>
      <c r="N50" s="29">
        <f t="shared" si="1"/>
        <v>11</v>
      </c>
      <c r="O50" s="29">
        <f t="shared" si="2"/>
        <v>42</v>
      </c>
      <c r="P50" s="29">
        <f t="shared" si="3"/>
        <v>48</v>
      </c>
      <c r="Q50" s="18">
        <f t="shared" si="4"/>
        <v>42168</v>
      </c>
    </row>
    <row r="51" spans="1:17" s="18" customFormat="1" x14ac:dyDescent="0.3">
      <c r="A51" s="25" t="s">
        <v>6</v>
      </c>
      <c r="B51" s="26" t="s">
        <v>7</v>
      </c>
      <c r="C51" s="27">
        <v>7000</v>
      </c>
      <c r="D51" s="27">
        <f t="shared" si="6"/>
        <v>2133.6</v>
      </c>
      <c r="E51" s="26" t="s">
        <v>58</v>
      </c>
      <c r="F51" s="26" t="s">
        <v>63</v>
      </c>
      <c r="G51" s="27">
        <v>40.023800000000001</v>
      </c>
      <c r="H51" s="27">
        <v>-3.3744000000000001</v>
      </c>
      <c r="I51" s="18">
        <v>10.5</v>
      </c>
      <c r="J51" s="18">
        <f t="shared" si="11"/>
        <v>19.446000000000002</v>
      </c>
      <c r="K51" s="19">
        <f t="shared" si="10"/>
        <v>4.8615000000000005E-2</v>
      </c>
      <c r="L51" s="20">
        <f t="shared" si="5"/>
        <v>2.0256250000000001E-3</v>
      </c>
      <c r="M51" s="20">
        <f t="shared" si="9"/>
        <v>0.49007906944444435</v>
      </c>
      <c r="N51" s="29">
        <f t="shared" si="1"/>
        <v>11</v>
      </c>
      <c r="O51" s="29">
        <f t="shared" si="2"/>
        <v>45</v>
      </c>
      <c r="P51" s="29">
        <f t="shared" si="3"/>
        <v>43</v>
      </c>
      <c r="Q51" s="18">
        <f t="shared" si="4"/>
        <v>42343</v>
      </c>
    </row>
    <row r="52" spans="1:17" s="18" customFormat="1" x14ac:dyDescent="0.3">
      <c r="A52" s="25" t="s">
        <v>6</v>
      </c>
      <c r="B52" s="26" t="s">
        <v>7</v>
      </c>
      <c r="C52" s="27">
        <v>6000</v>
      </c>
      <c r="D52" s="27">
        <f t="shared" si="6"/>
        <v>1828.8000000000002</v>
      </c>
      <c r="E52" s="26" t="s">
        <v>58</v>
      </c>
      <c r="F52" s="26" t="s">
        <v>64</v>
      </c>
      <c r="G52" s="27">
        <v>40.100900000000003</v>
      </c>
      <c r="H52" s="27">
        <v>-3.2738</v>
      </c>
      <c r="I52" s="18">
        <v>10.8</v>
      </c>
      <c r="J52" s="18">
        <f t="shared" si="11"/>
        <v>20.001600000000003</v>
      </c>
      <c r="K52" s="19">
        <f t="shared" si="10"/>
        <v>5.0004000000000007E-2</v>
      </c>
      <c r="L52" s="20">
        <f t="shared" si="5"/>
        <v>2.0835000000000003E-3</v>
      </c>
      <c r="M52" s="20">
        <f t="shared" si="9"/>
        <v>0.49216256944444436</v>
      </c>
      <c r="N52" s="29">
        <f t="shared" si="1"/>
        <v>11</v>
      </c>
      <c r="O52" s="29">
        <f t="shared" si="2"/>
        <v>48</v>
      </c>
      <c r="P52" s="29">
        <f t="shared" si="3"/>
        <v>43</v>
      </c>
      <c r="Q52" s="18">
        <f t="shared" si="4"/>
        <v>42523</v>
      </c>
    </row>
    <row r="53" spans="1:17" s="18" customFormat="1" x14ac:dyDescent="0.3">
      <c r="A53" s="25" t="s">
        <v>6</v>
      </c>
      <c r="B53" s="26" t="s">
        <v>7</v>
      </c>
      <c r="C53" s="27">
        <v>5000</v>
      </c>
      <c r="D53" s="27">
        <f t="shared" si="6"/>
        <v>1524</v>
      </c>
      <c r="E53" s="26" t="s">
        <v>58</v>
      </c>
      <c r="F53" s="26" t="s">
        <v>65</v>
      </c>
      <c r="G53" s="27">
        <v>40.123199999999997</v>
      </c>
      <c r="H53" s="27">
        <v>-3.2450999999999999</v>
      </c>
      <c r="I53" s="18">
        <v>3.2</v>
      </c>
      <c r="J53" s="18">
        <f t="shared" si="11"/>
        <v>5.926400000000001</v>
      </c>
      <c r="K53" s="19">
        <f>J53/200</f>
        <v>2.9632000000000006E-2</v>
      </c>
      <c r="L53" s="20">
        <f t="shared" si="5"/>
        <v>1.2346666666666669E-3</v>
      </c>
      <c r="M53" s="20">
        <f t="shared" si="9"/>
        <v>0.49339723611111103</v>
      </c>
      <c r="N53" s="29">
        <f t="shared" si="1"/>
        <v>11</v>
      </c>
      <c r="O53" s="29">
        <f t="shared" si="2"/>
        <v>50</v>
      </c>
      <c r="P53" s="29">
        <f t="shared" si="3"/>
        <v>30</v>
      </c>
      <c r="Q53" s="18">
        <f t="shared" si="4"/>
        <v>42630</v>
      </c>
    </row>
    <row r="54" spans="1:17" s="18" customFormat="1" x14ac:dyDescent="0.3">
      <c r="A54" s="25" t="s">
        <v>6</v>
      </c>
      <c r="B54" s="26" t="s">
        <v>7</v>
      </c>
      <c r="C54" s="27">
        <v>5000</v>
      </c>
      <c r="D54" s="27">
        <f t="shared" si="6"/>
        <v>1524</v>
      </c>
      <c r="E54" s="26" t="s">
        <v>58</v>
      </c>
      <c r="F54" s="26" t="s">
        <v>66</v>
      </c>
      <c r="G54" s="27">
        <v>40.1509</v>
      </c>
      <c r="H54" s="27">
        <v>-3.2256</v>
      </c>
      <c r="I54" s="18">
        <v>3</v>
      </c>
      <c r="J54" s="18">
        <f t="shared" si="11"/>
        <v>5.556</v>
      </c>
      <c r="K54" s="19">
        <f t="shared" ref="K54:K56" si="12">J54/200</f>
        <v>2.7779999999999999E-2</v>
      </c>
      <c r="L54" s="20">
        <f t="shared" si="5"/>
        <v>1.1574999999999999E-3</v>
      </c>
      <c r="M54" s="20">
        <f t="shared" si="9"/>
        <v>0.494554736111111</v>
      </c>
      <c r="N54" s="29">
        <f t="shared" si="1"/>
        <v>11</v>
      </c>
      <c r="O54" s="29">
        <f t="shared" si="2"/>
        <v>52</v>
      </c>
      <c r="P54" s="29">
        <f t="shared" si="3"/>
        <v>10</v>
      </c>
      <c r="Q54" s="18">
        <f t="shared" si="4"/>
        <v>42730</v>
      </c>
    </row>
    <row r="55" spans="1:17" s="18" customFormat="1" x14ac:dyDescent="0.3">
      <c r="A55" s="25" t="s">
        <v>6</v>
      </c>
      <c r="B55" s="26" t="s">
        <v>7</v>
      </c>
      <c r="C55" s="27">
        <v>5000</v>
      </c>
      <c r="D55" s="27">
        <f>C55*0.3048</f>
        <v>1524</v>
      </c>
      <c r="E55" s="26" t="s">
        <v>58</v>
      </c>
      <c r="F55" s="26" t="s">
        <v>67</v>
      </c>
      <c r="G55" s="27">
        <v>40.185899999999997</v>
      </c>
      <c r="H55" s="27">
        <v>-3.2238000000000002</v>
      </c>
      <c r="I55" s="18">
        <v>3.8</v>
      </c>
      <c r="J55" s="18">
        <f t="shared" si="11"/>
        <v>7.0376000000000003</v>
      </c>
      <c r="K55" s="19">
        <f t="shared" si="12"/>
        <v>3.5188000000000004E-2</v>
      </c>
      <c r="L55" s="20">
        <f t="shared" si="5"/>
        <v>1.4661666666666668E-3</v>
      </c>
      <c r="M55" s="20">
        <f t="shared" si="9"/>
        <v>0.49602090277777766</v>
      </c>
      <c r="N55" s="29">
        <f t="shared" si="1"/>
        <v>11</v>
      </c>
      <c r="O55" s="29">
        <f t="shared" si="2"/>
        <v>54</v>
      </c>
      <c r="P55" s="29">
        <f t="shared" si="3"/>
        <v>16</v>
      </c>
      <c r="Q55" s="18">
        <f t="shared" si="4"/>
        <v>42856</v>
      </c>
    </row>
    <row r="56" spans="1:17" s="18" customFormat="1" x14ac:dyDescent="0.3">
      <c r="A56" s="13" t="s">
        <v>6</v>
      </c>
      <c r="B56" s="14" t="s">
        <v>7</v>
      </c>
      <c r="C56" s="15">
        <f>D56/0.3048</f>
        <v>1998.0314960629921</v>
      </c>
      <c r="D56" s="15">
        <v>609</v>
      </c>
      <c r="E56" s="14" t="s">
        <v>49</v>
      </c>
      <c r="F56" s="14" t="s">
        <v>7</v>
      </c>
      <c r="G56" s="15">
        <v>40.472200000000001</v>
      </c>
      <c r="H56" s="15">
        <v>-3.5608</v>
      </c>
      <c r="I56" s="17">
        <v>11.6</v>
      </c>
      <c r="J56" s="18">
        <f t="shared" si="7"/>
        <v>21.4832</v>
      </c>
      <c r="K56" s="19">
        <f t="shared" si="12"/>
        <v>0.107416</v>
      </c>
      <c r="L56" s="20">
        <f t="shared" si="5"/>
        <v>4.4756666666666669E-3</v>
      </c>
      <c r="M56" s="20">
        <f t="shared" si="9"/>
        <v>0.50049656944444432</v>
      </c>
      <c r="N56" s="29">
        <f t="shared" si="1"/>
        <v>12</v>
      </c>
      <c r="O56" s="29">
        <f t="shared" si="2"/>
        <v>0</v>
      </c>
      <c r="P56" s="29">
        <f t="shared" si="3"/>
        <v>43</v>
      </c>
      <c r="Q56" s="18">
        <f t="shared" si="4"/>
        <v>43243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Sánchez Aparicio</dc:creator>
  <cp:lastModifiedBy>Amelia Sánchez Aparicio</cp:lastModifiedBy>
  <dcterms:created xsi:type="dcterms:W3CDTF">2015-06-05T18:17:20Z</dcterms:created>
  <dcterms:modified xsi:type="dcterms:W3CDTF">2026-01-30T12:56:11Z</dcterms:modified>
</cp:coreProperties>
</file>